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epi\Downloads\"/>
    </mc:Choice>
  </mc:AlternateContent>
  <xr:revisionPtr revIDLastSave="0" documentId="8_{9E07E9E4-8A6B-9445-B5E5-2F9D054AFE29}" xr6:coauthVersionLast="47" xr6:coauthVersionMax="47" xr10:uidLastSave="{00000000-0000-0000-0000-000000000000}"/>
  <bookViews>
    <workbookView xWindow="-108" yWindow="-108" windowWidth="23256" windowHeight="12456" activeTab="1" xr2:uid="{56C4982C-06AF-47D4-ACD0-1E9EEF8C1EC4}"/>
  </bookViews>
  <sheets>
    <sheet name="Sheet1" sheetId="2" r:id="rId1"/>
    <sheet name="employee_data (1)" sheetId="1" r:id="rId2"/>
  </sheets>
  <calcPr calcId="191028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00" i="1" l="1" a="1"/>
  <c r="AA100" i="1"/>
  <c r="AA99" i="1" a="1"/>
  <c r="AA99" i="1"/>
  <c r="AA98" i="1" a="1"/>
  <c r="AA98" i="1"/>
  <c r="AA97" i="1" a="1"/>
  <c r="AA97" i="1"/>
  <c r="AA96" i="1" a="1"/>
  <c r="AA96" i="1"/>
  <c r="AA95" i="1" a="1"/>
  <c r="AA95" i="1"/>
  <c r="AA94" i="1" a="1"/>
  <c r="AA94" i="1"/>
  <c r="AA93" i="1" a="1"/>
  <c r="AA93" i="1"/>
  <c r="AA92" i="1" a="1"/>
  <c r="AA92" i="1"/>
  <c r="AA91" i="1" a="1"/>
  <c r="AA91" i="1"/>
  <c r="AA90" i="1" a="1"/>
  <c r="AA90" i="1"/>
  <c r="AA89" i="1" a="1"/>
  <c r="AA89" i="1"/>
  <c r="AA88" i="1" a="1"/>
  <c r="AA88" i="1"/>
  <c r="AA87" i="1" a="1"/>
  <c r="AA87" i="1"/>
  <c r="AA86" i="1" a="1"/>
  <c r="AA86" i="1"/>
  <c r="AA85" i="1" a="1"/>
  <c r="AA85" i="1"/>
  <c r="AA84" i="1" a="1"/>
  <c r="AA84" i="1"/>
  <c r="AA83" i="1" a="1"/>
  <c r="AA83" i="1"/>
  <c r="AA82" i="1" a="1"/>
  <c r="AA82" i="1"/>
  <c r="AA81" i="1" a="1"/>
  <c r="AA81" i="1"/>
  <c r="AA80" i="1" a="1"/>
  <c r="AA80" i="1"/>
  <c r="AA79" i="1" a="1"/>
  <c r="AA79" i="1"/>
  <c r="AA78" i="1" a="1"/>
  <c r="AA78" i="1"/>
  <c r="AA77" i="1" a="1"/>
  <c r="AA77" i="1"/>
  <c r="AA76" i="1" a="1"/>
  <c r="AA76" i="1"/>
  <c r="AA75" i="1" a="1"/>
  <c r="AA75" i="1"/>
  <c r="AA74" i="1" a="1"/>
  <c r="AA74" i="1"/>
  <c r="AA73" i="1" a="1"/>
  <c r="AA73" i="1"/>
  <c r="AA72" i="1" a="1"/>
  <c r="AA72" i="1"/>
  <c r="AA71" i="1" a="1"/>
  <c r="AA71" i="1"/>
  <c r="AA70" i="1" a="1"/>
  <c r="AA70" i="1"/>
  <c r="AA69" i="1" a="1"/>
  <c r="AA69" i="1"/>
  <c r="AA68" i="1" a="1"/>
  <c r="AA68" i="1"/>
  <c r="AA67" i="1" a="1"/>
  <c r="AA67" i="1"/>
  <c r="AA66" i="1" a="1"/>
  <c r="AA66" i="1"/>
  <c r="AA65" i="1" a="1"/>
  <c r="AA65" i="1"/>
  <c r="AA64" i="1" a="1"/>
  <c r="AA64" i="1"/>
  <c r="AA63" i="1" a="1"/>
  <c r="AA63" i="1"/>
  <c r="AA62" i="1" a="1"/>
  <c r="AA62" i="1"/>
  <c r="AA61" i="1" a="1"/>
  <c r="AA61" i="1"/>
  <c r="AA60" i="1" a="1"/>
  <c r="AA60" i="1"/>
  <c r="AA59" i="1" a="1"/>
  <c r="AA59" i="1"/>
  <c r="AA58" i="1" a="1"/>
  <c r="AA58" i="1"/>
  <c r="AA57" i="1" a="1"/>
  <c r="AA57" i="1"/>
  <c r="AA56" i="1" a="1"/>
  <c r="AA56" i="1"/>
  <c r="AA55" i="1" a="1"/>
  <c r="AA55" i="1"/>
  <c r="AA54" i="1" a="1"/>
  <c r="AA54" i="1"/>
  <c r="AA53" i="1" a="1"/>
  <c r="AA53" i="1"/>
  <c r="AA52" i="1" a="1"/>
  <c r="AA52" i="1"/>
  <c r="AA51" i="1" a="1"/>
  <c r="AA51" i="1"/>
  <c r="AA50" i="1" a="1"/>
  <c r="AA50" i="1"/>
  <c r="AA49" i="1" a="1"/>
  <c r="AA49" i="1"/>
  <c r="AA48" i="1" a="1"/>
  <c r="AA48" i="1"/>
  <c r="AA47" i="1" a="1"/>
  <c r="AA47" i="1"/>
  <c r="AA46" i="1" a="1"/>
  <c r="AA46" i="1"/>
  <c r="AA45" i="1" a="1"/>
  <c r="AA45" i="1"/>
  <c r="AA44" i="1" a="1"/>
  <c r="AA44" i="1"/>
  <c r="AA43" i="1" a="1"/>
  <c r="AA43" i="1"/>
  <c r="AA42" i="1" a="1"/>
  <c r="AA42" i="1"/>
  <c r="AA41" i="1" a="1"/>
  <c r="AA41" i="1"/>
  <c r="AA40" i="1" a="1"/>
  <c r="AA40" i="1"/>
  <c r="AA39" i="1" a="1"/>
  <c r="AA39" i="1"/>
  <c r="AA38" i="1" a="1"/>
  <c r="AA38" i="1"/>
  <c r="AA37" i="1" a="1"/>
  <c r="AA37" i="1"/>
  <c r="AA36" i="1" a="1"/>
  <c r="AA36" i="1"/>
  <c r="AA35" i="1" a="1"/>
  <c r="AA35" i="1"/>
  <c r="AA34" i="1" a="1"/>
  <c r="AA34" i="1"/>
  <c r="AA33" i="1" a="1"/>
  <c r="AA33" i="1"/>
  <c r="AA32" i="1" a="1"/>
  <c r="AA32" i="1"/>
  <c r="AA31" i="1" a="1"/>
  <c r="AA31" i="1"/>
  <c r="AA30" i="1" a="1"/>
  <c r="AA30" i="1"/>
  <c r="AA29" i="1" a="1"/>
  <c r="AA29" i="1"/>
  <c r="AA28" i="1" a="1"/>
  <c r="AA28" i="1"/>
  <c r="AA27" i="1" a="1"/>
  <c r="AA27" i="1"/>
  <c r="AA26" i="1" a="1"/>
  <c r="AA26" i="1"/>
  <c r="AA25" i="1" a="1"/>
  <c r="AA25" i="1"/>
  <c r="AA24" i="1" a="1"/>
  <c r="AA24" i="1"/>
  <c r="AA23" i="1" a="1"/>
  <c r="AA23" i="1"/>
  <c r="AA22" i="1" a="1"/>
  <c r="AA22" i="1"/>
  <c r="AA21" i="1" a="1"/>
  <c r="AA21" i="1"/>
  <c r="AA20" i="1" a="1"/>
  <c r="AA20" i="1"/>
  <c r="AA19" i="1" a="1"/>
  <c r="AA19" i="1"/>
  <c r="AA18" i="1" a="1"/>
  <c r="AA18" i="1"/>
  <c r="AA17" i="1" a="1"/>
  <c r="AA17" i="1"/>
  <c r="AA16" i="1" a="1"/>
  <c r="AA16" i="1"/>
  <c r="AA15" i="1" a="1"/>
  <c r="AA15" i="1"/>
  <c r="AA14" i="1" a="1"/>
  <c r="AA14" i="1"/>
  <c r="AA13" i="1" a="1"/>
  <c r="AA13" i="1"/>
  <c r="AA12" i="1" a="1"/>
  <c r="AA12" i="1"/>
  <c r="AA11" i="1" a="1"/>
  <c r="AA11" i="1"/>
  <c r="AA10" i="1" a="1"/>
  <c r="AA10" i="1"/>
  <c r="AA9" i="1" a="1"/>
  <c r="AA9" i="1"/>
  <c r="AA8" i="1" a="1"/>
  <c r="AA8" i="1"/>
  <c r="AA7" i="1" a="1"/>
  <c r="AA7" i="1"/>
  <c r="AA6" i="1" a="1"/>
  <c r="AA6" i="1"/>
  <c r="AA5" i="1" a="1"/>
  <c r="AA5" i="1"/>
  <c r="AA4" i="1" a="1"/>
  <c r="AA4" i="1"/>
  <c r="AA3" i="1" a="1"/>
  <c r="AA3" i="1"/>
  <c r="AA2" i="1" a="1"/>
  <c r="A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<sst xmlns="http://schemas.openxmlformats.org/spreadsheetml/2006/main" count="58679" uniqueCount="10310">
  <si>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</si>
  <si>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</si>
  <si>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</si>
  <si>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</si>
  <si>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</si>
  <si>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</si>
  <si>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</si>
  <si>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</si>
  <si>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</si>
  <si>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</si>
  <si>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</si>
  <si>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</si>
  <si>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</si>
  <si>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</si>
  <si>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</si>
  <si>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</si>
  <si>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</si>
  <si>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</si>
  <si>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</si>
  <si>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</si>
  <si>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</si>
  <si>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</si>
  <si>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</si>
  <si>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</si>
  <si>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</si>
  <si>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</si>
  <si>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</si>
  <si>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</si>
  <si>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</si>
  <si>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</si>
  <si>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</si>
  <si>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</si>
  <si>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</si>
  <si>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</si>
  <si>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</si>
  <si>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</si>
  <si>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</si>
  <si>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</si>
  <si>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</si>
  <si>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</si>
  <si>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</si>
  <si>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</si>
  <si>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</si>
  <si>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</si>
  <si>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</si>
  <si>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</si>
  <si>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</si>
  <si>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</si>
  <si>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</si>
  <si>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</si>
  <si>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</si>
  <si>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</si>
  <si>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</si>
  <si>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</si>
  <si>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</si>
  <si>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</si>
  <si>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</si>
  <si>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</si>
  <si>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</si>
  <si>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</si>
  <si>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</si>
  <si>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</si>
  <si>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</si>
  <si>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</si>
  <si>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</si>
  <si>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</si>
  <si>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</si>
  <si>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</si>
  <si>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</si>
  <si>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</si>
  <si>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</si>
  <si>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</si>
  <si>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</si>
  <si>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</si>
  <si>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</si>
  <si>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</si>
  <si>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</si>
  <si>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</si>
  <si>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</si>
  <si>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</si>
  <si>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</si>
  <si>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</si>
  <si>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</si>
  <si>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</si>
  <si>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</si>
  <si>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</si>
  <si>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</si>
  <si>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</si>
  <si>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</si>
  <si>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</si>
  <si>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</si>
  <si>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</si>
  <si>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</si>
  <si>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</si>
  <si>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</si>
  <si>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</si>
  <si>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</si>
  <si>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</si>
  <si>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</si>
  <si>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</si>
  <si>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</si>
  <si>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</si>
  <si>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</si>
  <si>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</si>
  <si>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</si>
  <si>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</si>
  <si>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</si>
  <si>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</si>
  <si>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</si>
  <si>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</si>
  <si>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</si>
  <si>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</si>
  <si>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</si>
  <si>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</si>
  <si>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</si>
  <si>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</si>
  <si>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</si>
  <si>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</si>
  <si>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</si>
  <si>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</si>
  <si>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</si>
  <si>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</si>
  <si>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</si>
  <si>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</si>
  <si>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</si>
  <si>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</si>
  <si>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</si>
  <si>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</si>
  <si>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</si>
  <si>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</si>
  <si>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</si>
  <si>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</si>
  <si>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</si>
  <si>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</si>
  <si>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</si>
  <si>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</si>
  <si>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</si>
  <si>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</si>
  <si>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</si>
  <si>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</si>
  <si>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</si>
  <si>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</si>
  <si>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</si>
  <si>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</si>
  <si>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</si>
  <si>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</si>
  <si>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</si>
  <si>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</si>
  <si>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</si>
  <si>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</si>
  <si>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</si>
  <si>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</si>
  <si>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</si>
  <si>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</si>
  <si>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</si>
  <si>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</si>
  <si>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</si>
  <si>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</si>
  <si>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</si>
  <si>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</si>
  <si>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</si>
  <si>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</si>
  <si>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</si>
  <si>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</si>
  <si>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</si>
  <si>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</si>
  <si>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</si>
  <si>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</si>
  <si>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</si>
  <si>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</si>
  <si>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</si>
  <si>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</si>
  <si>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</si>
  <si>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</si>
  <si>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</si>
  <si>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</si>
  <si>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</si>
  <si>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</si>
  <si>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</si>
  <si>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</si>
  <si>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</si>
  <si>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</si>
  <si>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</si>
  <si>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</si>
  <si>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</si>
  <si>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</si>
  <si>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</si>
  <si>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</si>
  <si>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</si>
  <si>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</si>
  <si>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</si>
  <si>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</si>
  <si>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</si>
  <si>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</si>
  <si>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</si>
  <si>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</si>
  <si>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</si>
  <si>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</si>
  <si>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</si>
  <si>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</si>
  <si>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</si>
  <si>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</si>
  <si>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</si>
  <si>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</si>
  <si>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</si>
  <si>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</si>
  <si>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</si>
  <si>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</si>
  <si>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</si>
  <si>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</si>
  <si>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</si>
  <si>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</si>
  <si>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</si>
  <si>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</si>
  <si>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</si>
  <si>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</si>
  <si>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</si>
  <si>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</si>
  <si>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</si>
  <si>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</si>
  <si>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</si>
  <si>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</si>
  <si>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</si>
  <si>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</si>
  <si>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</si>
  <si>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</si>
  <si>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</si>
  <si>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</si>
  <si>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</si>
  <si>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</si>
  <si>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</si>
  <si>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</si>
  <si>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</si>
  <si>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</si>
  <si>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</si>
  <si>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</si>
  <si>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</si>
  <si>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</si>
  <si>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</si>
  <si>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</si>
  <si>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</si>
  <si>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</si>
  <si>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</si>
  <si>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</si>
  <si>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</si>
  <si>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</si>
  <si>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</si>
  <si>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</si>
  <si>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</si>
  <si>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</si>
  <si>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</si>
  <si>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</si>
  <si>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</si>
  <si>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</si>
  <si>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</si>
  <si>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</si>
  <si>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</si>
  <si>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</si>
  <si>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</si>
  <si>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</si>
  <si>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</si>
  <si>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</si>
  <si>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</si>
  <si>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</si>
  <si>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</si>
  <si>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</si>
  <si>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</si>
  <si>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</si>
  <si>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</si>
  <si>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</si>
  <si>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</si>
  <si>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</si>
  <si>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</si>
  <si>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</si>
  <si>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</si>
  <si>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</si>
  <si>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</si>
  <si>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</si>
  <si>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</si>
  <si>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</si>
  <si>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</si>
  <si>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</si>
  <si>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</si>
  <si>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</si>
  <si>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</si>
  <si>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</si>
  <si>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</si>
  <si>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</si>
  <si>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</si>
  <si>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</si>
  <si>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</si>
  <si>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</si>
  <si>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</si>
  <si>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</si>
  <si>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</si>
  <si>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</si>
  <si>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</si>
  <si>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</si>
  <si>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</si>
  <si>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</si>
  <si>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</si>
  <si>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</si>
  <si>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</si>
  <si>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</si>
  <si>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</si>
  <si>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</si>
  <si>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</si>
  <si>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</si>
  <si>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</si>
  <si>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</si>
  <si>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</si>
  <si>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</si>
  <si>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</si>
  <si>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</si>
  <si>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</si>
  <si>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</si>
  <si>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</si>
  <si>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</si>
  <si>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</si>
  <si>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</si>
  <si>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</si>
  <si>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</si>
  <si>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</si>
  <si>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</si>
  <si>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</si>
  <si>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</si>
  <si>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</si>
  <si>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</si>
  <si>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</si>
  <si>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</si>
  <si>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</si>
  <si>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</si>
  <si>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</si>
  <si>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</si>
  <si>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</si>
  <si>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</si>
  <si>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</si>
  <si>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</si>
  <si>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</si>
  <si>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</si>
  <si>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</si>
  <si>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</si>
  <si>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</si>
  <si>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</si>
  <si>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</si>
  <si>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</si>
  <si>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</si>
  <si>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</si>
  <si>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</si>
  <si>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</si>
  <si>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</si>
  <si>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</si>
  <si>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</si>
  <si>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</si>
  <si>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</si>
  <si>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</si>
  <si>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</si>
  <si>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</si>
  <si>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</si>
  <si>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</si>
  <si>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</si>
  <si>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</si>
  <si>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</si>
  <si>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</si>
  <si>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</si>
  <si>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</si>
  <si>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</si>
  <si>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</si>
  <si>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</si>
  <si>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</si>
  <si>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</si>
  <si>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</si>
  <si>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</si>
  <si>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</si>
  <si>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</si>
  <si>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</si>
  <si>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</si>
  <si>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</si>
  <si>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</si>
  <si>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</si>
  <si>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</si>
  <si>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</si>
  <si>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</si>
  <si>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</si>
  <si>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</si>
  <si>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</si>
  <si>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</si>
  <si>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</si>
  <si>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</si>
  <si>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</si>
  <si>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</si>
  <si>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</si>
  <si>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</si>
  <si>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</si>
  <si>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</si>
  <si>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</si>
  <si>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</si>
  <si>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</si>
  <si>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</si>
  <si>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</si>
  <si>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</si>
  <si>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</si>
  <si>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</si>
  <si>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</si>
  <si>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</si>
  <si>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</si>
  <si>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</si>
  <si>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</si>
  <si>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</si>
  <si>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</si>
  <si>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</si>
  <si>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</si>
  <si>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</si>
  <si>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</si>
  <si>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</si>
  <si>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</si>
  <si>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</si>
  <si>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</si>
  <si>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</si>
  <si>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</si>
  <si>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</si>
  <si>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</si>
  <si>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</si>
  <si>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</si>
  <si>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</si>
  <si>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</si>
  <si>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</si>
  <si>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</si>
  <si>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</si>
  <si>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</si>
  <si>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</si>
  <si>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</si>
  <si>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</si>
  <si>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</si>
  <si>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</si>
  <si>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</si>
  <si>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</si>
  <si>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</si>
  <si>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</si>
  <si>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</si>
  <si>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</si>
  <si>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</si>
  <si>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</si>
  <si>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</si>
  <si>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</si>
  <si>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</si>
  <si>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</si>
  <si>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</si>
  <si>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</si>
  <si>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</si>
  <si>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</si>
  <si>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</si>
  <si>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</si>
  <si>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</si>
  <si>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</si>
  <si>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</si>
  <si>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</si>
  <si>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</si>
  <si>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</si>
  <si>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</si>
  <si>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</si>
  <si>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</si>
  <si>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</si>
  <si>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</si>
  <si>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</si>
  <si>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</si>
  <si>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</si>
  <si>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</si>
  <si>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</si>
  <si>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</si>
  <si>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</si>
  <si>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</si>
  <si>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</si>
  <si>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</si>
  <si>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</si>
  <si>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</si>
  <si>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</si>
  <si>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</si>
  <si>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</si>
  <si>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</si>
  <si>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</si>
  <si>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</si>
  <si>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</si>
  <si>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</si>
  <si>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</si>
  <si>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</si>
  <si>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</si>
  <si>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</si>
  <si>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</si>
  <si>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</si>
  <si>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</si>
  <si>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</si>
  <si>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</si>
  <si>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</si>
  <si>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</si>
  <si>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</si>
  <si>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</si>
  <si>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</si>
  <si>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</si>
  <si>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</si>
  <si>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</si>
  <si>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</si>
  <si>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</si>
  <si>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</si>
  <si>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</si>
  <si>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</si>
  <si>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</si>
  <si>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</si>
  <si>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</si>
  <si>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</si>
  <si>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</si>
  <si>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</si>
  <si>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</si>
  <si>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</si>
  <si>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</si>
  <si>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</si>
  <si>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</si>
  <si>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</si>
  <si>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</si>
  <si>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</si>
  <si>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</si>
  <si>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</si>
  <si>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</si>
  <si>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</si>
  <si>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</si>
  <si>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</si>
  <si>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</si>
  <si>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</si>
  <si>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</si>
  <si>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</si>
  <si>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</si>
  <si>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</si>
  <si>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</si>
  <si>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</si>
  <si>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</si>
  <si>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</si>
  <si>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</si>
  <si>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</si>
  <si>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</si>
  <si>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</si>
  <si>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</si>
  <si>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</si>
  <si>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</si>
  <si>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</si>
  <si>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</si>
  <si>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</si>
  <si>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</si>
  <si>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</si>
  <si>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</si>
  <si>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</si>
  <si>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</si>
  <si>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</si>
  <si>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</si>
  <si>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</si>
  <si>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</si>
  <si>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</si>
  <si>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</si>
  <si>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</si>
  <si>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</si>
  <si>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</si>
  <si>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</si>
  <si>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</si>
  <si>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</si>
  <si>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</si>
  <si>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</si>
  <si>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</si>
  <si>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</si>
  <si>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</si>
  <si>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</si>
  <si>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</si>
  <si>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</si>
  <si>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</si>
  <si>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</si>
  <si>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</si>
  <si>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</si>
  <si>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</si>
  <si>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</si>
  <si>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</si>
  <si>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</si>
  <si>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</si>
  <si>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</si>
  <si>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</si>
  <si>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</si>
  <si>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</si>
  <si>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</si>
  <si>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</si>
  <si>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</si>
  <si>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</si>
  <si>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</si>
  <si>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</si>
  <si>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</si>
  <si>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</si>
  <si>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</si>
  <si>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</si>
  <si>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</si>
  <si>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</si>
  <si>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</si>
  <si>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</si>
  <si>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</si>
  <si>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</si>
  <si>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</si>
  <si>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</si>
  <si>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</si>
  <si>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</si>
  <si>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</si>
  <si>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</si>
  <si>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</si>
  <si>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</si>
  <si>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</si>
  <si>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</si>
  <si>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</si>
  <si>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</si>
  <si>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</si>
  <si>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</si>
  <si>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</si>
  <si>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</si>
  <si>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</si>
  <si>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</si>
  <si>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</si>
  <si>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</si>
  <si>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</si>
  <si>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</si>
  <si>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</si>
  <si>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</si>
  <si>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</si>
  <si>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</si>
  <si>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</si>
  <si>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</si>
  <si>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</si>
  <si>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</si>
  <si>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</si>
  <si>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</si>
  <si>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</si>
  <si>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</si>
  <si>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</si>
  <si>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</si>
  <si>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</si>
  <si>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</si>
  <si>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</si>
  <si>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</si>
  <si>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</si>
  <si>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</si>
  <si>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</si>
  <si>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</si>
  <si>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</si>
  <si>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</si>
  <si>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</si>
  <si>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</si>
  <si>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</si>
  <si>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</si>
  <si>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</si>
  <si>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</si>
  <si>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</si>
  <si>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</si>
  <si>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</si>
  <si>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</si>
  <si>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</si>
  <si>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</si>
  <si>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</si>
  <si>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</si>
  <si>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</si>
  <si>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</si>
  <si>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</si>
  <si>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</si>
  <si>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</si>
  <si>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</si>
  <si>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</si>
  <si>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</si>
  <si>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</si>
  <si>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</si>
  <si>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</si>
  <si>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</si>
  <si>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</si>
  <si>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</si>
  <si>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</si>
  <si>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</si>
  <si>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</si>
  <si>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</si>
  <si>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</si>
  <si>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</si>
  <si>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</si>
  <si>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</si>
  <si>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</si>
  <si>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</si>
  <si>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</si>
  <si>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</si>
  <si>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</si>
  <si>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</si>
  <si>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</si>
  <si>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</si>
  <si>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</si>
  <si>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</si>
  <si>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</si>
  <si>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</si>
  <si>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</si>
  <si>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</si>
  <si>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</si>
  <si>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</si>
  <si>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</si>
  <si>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</si>
  <si>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</si>
  <si>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</si>
  <si>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</si>
  <si>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</si>
  <si>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</si>
  <si>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</si>
  <si>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</si>
  <si>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</si>
  <si>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</si>
  <si>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</si>
  <si>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</si>
  <si>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</si>
  <si>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</si>
  <si>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</si>
  <si>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</si>
  <si>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</si>
  <si>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</si>
  <si>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</si>
  <si>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</si>
  <si>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</si>
  <si>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</si>
  <si>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</si>
  <si>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</si>
  <si>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</si>
  <si>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</si>
  <si>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</si>
  <si>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</si>
  <si>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</si>
  <si>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</si>
  <si>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</si>
  <si>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</si>
  <si>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</si>
  <si>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</si>
  <si>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</si>
  <si>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</si>
  <si>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</si>
  <si>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</si>
  <si>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</si>
  <si>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</si>
  <si>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</si>
  <si>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</si>
  <si>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</si>
  <si>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</si>
  <si>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</si>
  <si>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</si>
  <si>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</si>
  <si>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</si>
  <si>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</si>
  <si>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</si>
  <si>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</si>
  <si>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</si>
  <si>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</si>
  <si>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</si>
  <si>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</si>
  <si>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</si>
  <si>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</si>
  <si>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</si>
  <si>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</si>
  <si>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</si>
  <si>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</si>
  <si>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</si>
  <si>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</si>
  <si>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</si>
  <si>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</si>
  <si>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</si>
  <si>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</si>
  <si>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</si>
  <si>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</si>
  <si>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</si>
  <si>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</si>
  <si>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</si>
  <si>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</si>
  <si>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</si>
  <si>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</si>
  <si>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</si>
  <si>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</si>
  <si>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</si>
  <si>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</si>
  <si>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</si>
  <si>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</si>
  <si>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</si>
  <si>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</si>
  <si>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</si>
  <si>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</si>
  <si>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</si>
  <si>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</si>
  <si>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</si>
  <si>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</si>
  <si>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</si>
  <si>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</si>
  <si>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</si>
  <si>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</si>
  <si>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</si>
  <si>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</si>
  <si>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</si>
  <si>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</si>
  <si>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</si>
  <si>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</si>
  <si>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</si>
  <si>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</si>
  <si>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</si>
  <si>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</si>
  <si>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</si>
  <si>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</si>
  <si>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</si>
  <si>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</si>
  <si>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</si>
  <si>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</si>
  <si>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</si>
  <si>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</si>
  <si>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</si>
  <si>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</si>
  <si>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</si>
  <si>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</si>
  <si>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</si>
  <si>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</si>
  <si>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</si>
  <si>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</si>
  <si>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</si>
  <si>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</si>
  <si>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</si>
  <si>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</si>
  <si>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</si>
  <si>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</si>
  <si>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</si>
  <si>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</si>
  <si>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</si>
  <si>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</si>
  <si>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</si>
  <si>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</si>
  <si>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</si>
  <si>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</si>
  <si>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</si>
  <si>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</si>
  <si>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</si>
  <si>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</si>
  <si>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</si>
  <si>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</si>
  <si>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</si>
  <si>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</si>
  <si>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</si>
  <si>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</si>
  <si>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</si>
  <si>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</si>
  <si>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</si>
  <si>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</si>
  <si>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</si>
  <si>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</si>
  <si>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</si>
  <si>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</si>
  <si>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</si>
  <si>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</si>
  <si>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</si>
  <si>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</si>
  <si>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</si>
  <si>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</si>
  <si>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</si>
  <si>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</si>
  <si>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</si>
  <si>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</si>
  <si>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</si>
  <si>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</si>
  <si>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</si>
  <si>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</si>
  <si>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</si>
  <si>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</si>
  <si>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</si>
  <si>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</si>
  <si>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</si>
  <si>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</si>
  <si>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</si>
  <si>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</si>
  <si>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</si>
  <si>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</si>
  <si>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</si>
  <si>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</si>
  <si>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</si>
  <si>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</si>
  <si>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</si>
  <si>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</si>
  <si>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</si>
  <si>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</si>
  <si>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</si>
  <si>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</si>
  <si>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</si>
  <si>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</si>
  <si>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</si>
  <si>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</si>
  <si>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</si>
  <si>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</si>
  <si>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</si>
  <si>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</si>
  <si>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</si>
  <si>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</si>
  <si>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</si>
  <si>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</si>
  <si>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</si>
  <si>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</si>
  <si>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</si>
  <si>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</si>
  <si>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</si>
  <si>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</si>
  <si>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</si>
  <si>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</si>
  <si>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</si>
  <si>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</si>
  <si>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</si>
  <si>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</si>
  <si>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</si>
  <si>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</si>
  <si>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</si>
  <si>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</si>
  <si>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</si>
  <si>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</si>
  <si>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</si>
  <si>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</si>
  <si>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</si>
  <si>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</si>
  <si>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</si>
  <si>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</si>
  <si>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</si>
  <si>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</si>
  <si>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</si>
  <si>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</si>
  <si>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</si>
  <si>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</si>
  <si>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</si>
  <si>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</si>
  <si>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</si>
  <si>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</si>
  <si>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</si>
  <si>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</si>
  <si>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</si>
  <si>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</si>
  <si>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</si>
  <si>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</si>
  <si>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</si>
  <si>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</si>
  <si>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</si>
  <si>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</si>
  <si>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</si>
  <si>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</si>
  <si>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</si>
  <si>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</si>
  <si>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</si>
  <si>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</si>
  <si>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</si>
  <si>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</si>
  <si>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</si>
  <si>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</si>
  <si>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</si>
  <si>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</si>
  <si>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</si>
  <si>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</si>
  <si>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</si>
  <si>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</si>
  <si>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</si>
  <si>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</si>
  <si>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</si>
  <si>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</si>
  <si>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</si>
  <si>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</si>
  <si>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</si>
  <si>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</si>
  <si>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</si>
  <si>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</si>
  <si>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</si>
  <si>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</si>
  <si>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</si>
  <si>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</si>
  <si>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</si>
  <si>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</si>
  <si>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</si>
  <si>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</si>
  <si>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</si>
  <si>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</si>
  <si>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</si>
  <si>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</si>
  <si>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</si>
  <si>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</si>
  <si>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</si>
  <si>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</si>
  <si>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</si>
  <si>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</si>
  <si>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</si>
  <si>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</si>
  <si>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</si>
  <si>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</si>
  <si>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</si>
  <si>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</si>
  <si>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</si>
  <si>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</si>
  <si>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</si>
  <si>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</si>
  <si>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</si>
  <si>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</si>
  <si>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</si>
  <si>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</si>
  <si>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</si>
  <si>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</si>
  <si>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</si>
  <si>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</si>
  <si>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</si>
  <si>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</si>
  <si>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</si>
  <si>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</si>
  <si>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</si>
  <si>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</si>
  <si>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</si>
  <si>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</si>
  <si>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</si>
  <si>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</si>
  <si>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</si>
  <si>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</si>
  <si>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</si>
  <si>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</si>
  <si>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</si>
  <si>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</si>
  <si>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</si>
  <si>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</si>
  <si>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</si>
  <si>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</si>
  <si>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</si>
  <si>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</si>
  <si>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</si>
  <si>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</si>
  <si>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</si>
  <si>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</si>
  <si>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</si>
  <si>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</si>
  <si>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</si>
  <si>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</si>
  <si>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</si>
  <si>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</si>
  <si>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</si>
  <si>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</si>
  <si>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</si>
  <si>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</si>
  <si>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</si>
  <si>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</si>
  <si>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</si>
  <si>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</si>
  <si>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</si>
  <si>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</si>
  <si>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</si>
  <si>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</si>
  <si>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</si>
  <si>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</si>
  <si>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</si>
  <si>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</si>
  <si>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</si>
  <si>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</si>
  <si>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</si>
  <si>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</si>
  <si>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</si>
  <si>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</si>
  <si>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</si>
  <si>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</si>
  <si>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</si>
  <si>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</si>
  <si>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</si>
  <si>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</si>
  <si>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</si>
  <si>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</si>
  <si>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</si>
  <si>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</si>
  <si>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</si>
  <si>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</si>
  <si>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</si>
  <si>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</si>
  <si>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</si>
  <si>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</si>
  <si>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</si>
  <si>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</si>
  <si>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</si>
  <si>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</si>
  <si>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</si>
  <si>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</si>
  <si>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</si>
  <si>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</si>
  <si>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</si>
  <si>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</si>
  <si>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</si>
  <si>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</si>
  <si>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</si>
  <si>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</si>
  <si>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</si>
  <si>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</si>
  <si>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</si>
  <si>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</si>
  <si>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</si>
  <si>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</si>
  <si>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</si>
  <si>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</si>
  <si>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</si>
  <si>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</si>
  <si>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</si>
  <si>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</si>
  <si>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</si>
  <si>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</si>
  <si>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</si>
  <si>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</si>
  <si>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</si>
  <si>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</si>
  <si>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</si>
  <si>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</si>
  <si>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</si>
  <si>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</si>
  <si>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</si>
  <si>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</si>
  <si>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</si>
  <si>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</si>
  <si>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</si>
  <si>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</si>
  <si>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</si>
  <si>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</si>
  <si>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</si>
  <si>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</si>
  <si>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</si>
  <si>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</si>
  <si>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</si>
  <si>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</si>
  <si>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</si>
  <si>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</si>
  <si>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</si>
  <si>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</si>
  <si>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</si>
  <si>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</si>
  <si>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</si>
  <si>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</si>
  <si>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</si>
  <si>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</si>
  <si>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</si>
  <si>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</si>
  <si>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</si>
  <si>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</si>
  <si>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</si>
  <si>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</si>
  <si>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</si>
  <si>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</si>
  <si>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</si>
  <si>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</si>
  <si>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</si>
  <si>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</si>
  <si>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</si>
  <si>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</si>
  <si>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</si>
  <si>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</si>
  <si>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</si>
  <si>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</si>
  <si>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</si>
  <si>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</si>
  <si>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</si>
  <si>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</si>
  <si>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</si>
  <si>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</si>
  <si>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</si>
  <si>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</si>
  <si>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</si>
  <si>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</si>
  <si>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</si>
  <si>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</si>
  <si>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</si>
  <si>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</si>
  <si>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</si>
  <si>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</si>
  <si>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</si>
  <si>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</si>
  <si>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</si>
  <si>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</si>
  <si>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</si>
  <si>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</si>
  <si>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</si>
  <si>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</si>
  <si>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</si>
  <si>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</si>
  <si>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</si>
  <si>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</si>
  <si>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</si>
  <si>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</si>
  <si>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</si>
  <si>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</si>
  <si>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</si>
  <si>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</si>
  <si>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</si>
  <si>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</si>
  <si>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</si>
  <si>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</si>
  <si>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</si>
  <si>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</si>
  <si>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</si>
  <si>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</si>
  <si>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</si>
  <si>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</si>
  <si>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</si>
  <si>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</si>
  <si>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</si>
  <si>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</si>
  <si>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</si>
  <si>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</si>
  <si>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</si>
  <si>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</si>
  <si>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</si>
  <si>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</si>
  <si>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</si>
  <si>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</si>
  <si>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</si>
  <si>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</si>
  <si>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</si>
  <si>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</si>
  <si>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</si>
  <si>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</si>
  <si>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</si>
  <si>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</si>
  <si>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</si>
  <si>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</si>
  <si>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</si>
  <si>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</si>
  <si>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</si>
  <si>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</si>
  <si>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</si>
  <si>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</si>
  <si>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</si>
  <si>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</si>
  <si>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</si>
  <si>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</si>
  <si>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</si>
  <si>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</si>
  <si>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</si>
  <si>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</si>
  <si>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</si>
  <si>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</si>
  <si>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</si>
  <si>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</si>
  <si>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</si>
  <si>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</si>
  <si>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</si>
  <si>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</si>
  <si>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</si>
  <si>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</si>
  <si>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</si>
  <si>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</si>
  <si>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</si>
  <si>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</si>
  <si>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</si>
  <si>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</si>
  <si>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</si>
  <si>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</si>
  <si>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</si>
  <si>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</si>
  <si>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</si>
  <si>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</si>
  <si>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</si>
  <si>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</si>
  <si>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</si>
  <si>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</si>
  <si>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</si>
  <si>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</si>
  <si>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</si>
  <si>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</si>
  <si>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</si>
  <si>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</si>
  <si>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</si>
  <si>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</si>
  <si>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</si>
  <si>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</si>
  <si>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</si>
  <si>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</si>
  <si>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</si>
  <si>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</si>
  <si>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</si>
  <si>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</si>
  <si>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</si>
  <si>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</si>
  <si>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</si>
  <si>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</si>
  <si>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</si>
  <si>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</si>
  <si>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</si>
  <si>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</si>
  <si>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</si>
  <si>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</si>
  <si>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</si>
  <si>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</si>
  <si>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</si>
  <si>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</si>
  <si>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</si>
  <si>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</si>
  <si>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</si>
  <si>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</si>
  <si>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</si>
  <si>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</si>
  <si>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</si>
  <si>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</si>
  <si>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</si>
  <si>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</si>
  <si>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</si>
  <si>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</si>
  <si>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</si>
  <si>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</si>
  <si>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</si>
  <si>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</si>
  <si>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</si>
  <si>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</si>
  <si>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</si>
  <si>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</si>
  <si>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</si>
  <si>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</si>
  <si>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</si>
  <si>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</si>
  <si>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</si>
  <si>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</si>
  <si>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</si>
  <si>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</si>
  <si>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</si>
  <si>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</si>
  <si>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</si>
  <si>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</si>
  <si>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</si>
  <si>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</si>
  <si>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</si>
  <si>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</si>
  <si>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</si>
  <si>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</si>
  <si>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</si>
  <si>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</si>
  <si>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</si>
  <si>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</si>
  <si>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</si>
  <si>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</si>
  <si>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</si>
  <si>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</si>
  <si>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</si>
  <si>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</si>
  <si>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</si>
  <si>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</si>
  <si>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</si>
  <si>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</si>
  <si>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</si>
  <si>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</si>
  <si>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</si>
  <si>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</si>
  <si>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</si>
  <si>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</si>
  <si>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</si>
  <si>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</si>
  <si>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</si>
  <si>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</si>
  <si>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</si>
  <si>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</si>
  <si>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</si>
  <si>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</si>
  <si>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</si>
  <si>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</si>
  <si>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</si>
  <si>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</si>
  <si>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</si>
  <si>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</si>
  <si>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</si>
  <si>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</si>
  <si>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</si>
  <si>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</si>
  <si>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</si>
  <si>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</si>
  <si>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</si>
  <si>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</si>
  <si>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</si>
  <si>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</si>
  <si>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</si>
  <si>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</si>
  <si>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</si>
  <si>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</si>
  <si>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</si>
  <si>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</si>
  <si>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</si>
  <si>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</si>
  <si>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</si>
  <si>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</si>
  <si>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</si>
  <si>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</si>
  <si>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</si>
  <si>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</si>
  <si>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</si>
  <si>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</si>
  <si>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</si>
  <si>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</si>
  <si>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</si>
  <si>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</si>
  <si>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</si>
  <si>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</si>
  <si>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</si>
  <si>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</si>
  <si>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</si>
  <si>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</si>
  <si>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</si>
  <si>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</si>
  <si>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</si>
  <si>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</si>
  <si>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</si>
  <si>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</si>
  <si>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</si>
  <si>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</si>
  <si>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</si>
  <si>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</si>
  <si>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</si>
  <si>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</si>
  <si>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</si>
  <si>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</si>
  <si>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</si>
  <si>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</si>
  <si>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</si>
  <si>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</si>
  <si>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</si>
  <si>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</si>
  <si>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</si>
  <si>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</si>
  <si>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</si>
  <si>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</si>
  <si>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</si>
  <si>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</si>
  <si>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</si>
  <si>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</si>
  <si>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</si>
  <si>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</si>
  <si>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</si>
  <si>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</si>
  <si>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</si>
  <si>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</si>
  <si>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</si>
  <si>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</si>
  <si>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</si>
  <si>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</si>
  <si>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</si>
  <si>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</si>
  <si>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</si>
  <si>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</si>
  <si>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</si>
  <si>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</si>
  <si>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</si>
  <si>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</si>
  <si>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</si>
  <si>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</si>
  <si>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</si>
  <si>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</si>
  <si>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</si>
  <si>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</si>
  <si>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</si>
  <si>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</si>
  <si>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</si>
  <si>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</si>
  <si>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</si>
  <si>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</si>
  <si>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</si>
  <si>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</si>
  <si>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</si>
  <si>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</si>
  <si>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</si>
  <si>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</si>
  <si>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</si>
  <si>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</si>
  <si>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</si>
  <si>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</si>
  <si>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</si>
  <si>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</si>
  <si>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</si>
  <si>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</si>
  <si>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</si>
  <si>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</si>
  <si>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</si>
  <si>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</si>
  <si>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</si>
  <si>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</si>
  <si>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</si>
  <si>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</si>
  <si>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</si>
  <si>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</si>
  <si>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</si>
  <si>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</si>
  <si>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</si>
  <si>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</si>
  <si>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</si>
  <si>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</si>
  <si>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</si>
  <si>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</si>
  <si>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</si>
  <si>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</si>
  <si>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</si>
  <si>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</si>
  <si>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</si>
  <si>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</si>
  <si>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</si>
  <si>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</si>
  <si>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</si>
  <si>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</si>
  <si>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</si>
  <si>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</si>
  <si>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</si>
  <si>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</si>
  <si>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</si>
  <si>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</si>
  <si>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</si>
  <si>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</si>
  <si>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</si>
  <si>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</si>
  <si>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</si>
  <si>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</si>
  <si>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</si>
  <si>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</si>
  <si>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</si>
  <si>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</si>
  <si>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</si>
  <si>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</si>
  <si>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</si>
  <si>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</si>
  <si>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</si>
  <si>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</si>
  <si>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</si>
  <si>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</si>
  <si>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</si>
  <si>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</si>
  <si>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</si>
  <si>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</si>
  <si>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</si>
  <si>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</si>
  <si>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</si>
  <si>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</si>
  <si>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</si>
  <si>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</si>
  <si>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</si>
  <si>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</si>
  <si>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</si>
  <si>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</si>
  <si>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</si>
  <si>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</si>
  <si>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</si>
  <si>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</si>
  <si>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</si>
  <si>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</si>
  <si>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</si>
  <si>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</si>
  <si>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</si>
  <si>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</si>
  <si>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</si>
  <si>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</si>
  <si>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</si>
  <si>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</si>
  <si>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</si>
  <si>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</si>
  <si>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</si>
  <si>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</si>
  <si>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</si>
  <si>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</si>
  <si>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</si>
  <si>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</si>
  <si>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</si>
  <si>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</si>
  <si>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</si>
  <si>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</si>
  <si>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</si>
  <si>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</si>
  <si>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</si>
  <si>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</si>
  <si>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</si>
  <si>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</si>
  <si>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</si>
  <si>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</si>
  <si>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</si>
  <si>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</si>
  <si>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</si>
  <si>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</si>
  <si>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</si>
  <si>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</si>
  <si>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</si>
  <si>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</si>
  <si>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</si>
  <si>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</si>
  <si>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</si>
  <si>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</si>
  <si>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</si>
  <si>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</si>
  <si>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</si>
  <si>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</si>
  <si>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</si>
  <si>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</si>
  <si>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</si>
  <si>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</si>
  <si>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</si>
  <si>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</si>
  <si>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</si>
  <si>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</si>
  <si>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</si>
  <si>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</si>
  <si>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</si>
  <si>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</si>
  <si>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</si>
  <si>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</si>
  <si>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</si>
  <si>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</si>
  <si>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</si>
  <si>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</si>
  <si>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</si>
  <si>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</si>
  <si>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</si>
  <si>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</si>
  <si>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</si>
  <si>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</si>
  <si>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</si>
  <si>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</si>
  <si>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</si>
  <si>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</si>
  <si>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</si>
  <si>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</si>
  <si>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</si>
  <si>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</si>
  <si>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</si>
  <si>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</si>
  <si>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</si>
  <si>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</si>
  <si>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</si>
  <si>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</si>
  <si>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</si>
  <si>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</si>
  <si>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</si>
  <si>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</si>
  <si>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</si>
  <si>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</si>
  <si>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</si>
  <si>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</si>
  <si>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</si>
  <si>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</si>
  <si>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</si>
  <si>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</si>
  <si>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</si>
  <si>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</si>
  <si>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</si>
  <si>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</si>
  <si>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</si>
  <si>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</si>
  <si>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</si>
  <si>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</si>
  <si>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</si>
  <si>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</si>
  <si>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</si>
  <si>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</si>
  <si>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</si>
  <si>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</si>
  <si>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</si>
  <si>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</si>
  <si>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</si>
  <si>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</si>
  <si>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</si>
  <si>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</si>
  <si>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</si>
  <si>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</si>
  <si>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</si>
  <si>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</si>
  <si>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</si>
  <si>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</si>
  <si>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</si>
  <si>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</si>
  <si>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</si>
  <si>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</si>
  <si>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</si>
  <si>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</si>
  <si>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</si>
  <si>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</si>
  <si>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</si>
  <si>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</si>
  <si>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</si>
  <si>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</si>
  <si>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</si>
  <si>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</si>
  <si>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</si>
  <si>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</si>
  <si>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</si>
  <si>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</si>
  <si>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</si>
  <si>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</si>
  <si>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</si>
  <si>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</si>
  <si>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</si>
  <si>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</si>
  <si>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</si>
  <si>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</si>
  <si>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</si>
  <si>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</si>
  <si>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</si>
  <si>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</si>
  <si>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</si>
  <si>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</si>
  <si>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</si>
  <si>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</si>
  <si>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</si>
  <si>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</si>
  <si>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</si>
  <si>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</si>
  <si>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</si>
  <si>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</si>
  <si>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</si>
  <si>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</si>
  <si>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</si>
  <si>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</si>
  <si>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</si>
  <si>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</si>
  <si>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</si>
  <si>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</si>
  <si>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</si>
  <si>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</si>
  <si>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</si>
  <si>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</si>
  <si>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</si>
  <si>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</si>
  <si>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</si>
  <si>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</si>
  <si>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</si>
  <si>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</si>
  <si>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</si>
  <si>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</si>
  <si>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</si>
  <si>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</si>
  <si>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</si>
  <si>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</si>
  <si>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</si>
  <si>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</si>
  <si>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</si>
  <si>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</si>
  <si>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</si>
  <si>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</si>
  <si>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</si>
  <si>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</si>
  <si>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</si>
  <si>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</si>
  <si>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</si>
  <si>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</si>
  <si>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</si>
  <si>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</si>
  <si>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</si>
  <si>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</si>
  <si>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</si>
  <si>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</si>
  <si>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</si>
  <si>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</si>
  <si>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</si>
  <si>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</si>
  <si>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</si>
  <si>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</si>
  <si>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</si>
  <si>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</si>
  <si>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</si>
  <si>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</si>
  <si>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</si>
  <si>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</si>
  <si>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</si>
  <si>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</si>
  <si>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</si>
  <si>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</si>
  <si>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</si>
  <si>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</si>
  <si>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</si>
  <si>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</si>
  <si>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</si>
  <si>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</si>
  <si>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</si>
  <si>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</si>
  <si>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</si>
  <si>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</si>
  <si>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</si>
  <si>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</si>
  <si>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</si>
  <si>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</si>
  <si>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</si>
  <si>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</si>
  <si>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</si>
  <si>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</si>
  <si>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</si>
  <si>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</si>
  <si>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</si>
  <si>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</si>
  <si>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</si>
  <si>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</si>
  <si>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</si>
  <si>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</si>
  <si>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</si>
  <si>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</si>
  <si>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</si>
  <si>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</si>
  <si>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</si>
  <si>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</si>
  <si>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</si>
  <si>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</si>
  <si>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</si>
  <si>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</si>
  <si>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</si>
  <si>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</si>
  <si>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</si>
  <si>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</si>
  <si>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</si>
  <si>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</si>
  <si>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</si>
  <si>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</si>
  <si>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</si>
  <si>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</si>
  <si>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</si>
  <si>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</si>
  <si>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</si>
  <si>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</si>
  <si>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</si>
  <si>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</si>
  <si>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</si>
  <si>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</si>
  <si>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</si>
  <si>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</si>
  <si>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</si>
  <si>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</si>
  <si>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</si>
  <si>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</si>
  <si>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</si>
  <si>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</si>
  <si>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</si>
  <si>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</si>
  <si>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</si>
  <si>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</si>
  <si>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</si>
  <si>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</si>
  <si>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</si>
  <si>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</si>
  <si>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</si>
  <si>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</si>
  <si>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</si>
  <si>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</si>
  <si>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</si>
  <si>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</si>
  <si>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</si>
  <si>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</si>
  <si>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</si>
  <si>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</si>
  <si>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</si>
  <si>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</si>
  <si>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</si>
  <si>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</si>
  <si>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</si>
  <si>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</si>
  <si>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</si>
  <si>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</si>
  <si>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</si>
  <si>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</si>
  <si>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</si>
  <si>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</si>
  <si>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</si>
  <si>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</si>
  <si>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</si>
  <si>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</si>
  <si>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</si>
  <si>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</si>
  <si>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</si>
  <si>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</si>
  <si>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</si>
  <si>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</si>
  <si>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</si>
  <si>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</si>
  <si>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</si>
  <si>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</si>
  <si>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</si>
  <si>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</si>
  <si>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</si>
  <si>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</si>
  <si>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</si>
  <si>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</si>
  <si>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</si>
  <si>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</si>
  <si>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</si>
  <si>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</si>
  <si>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</si>
  <si>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</si>
  <si>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</si>
  <si>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</si>
  <si>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</si>
  <si>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</si>
  <si>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</si>
  <si>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</si>
  <si>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</si>
  <si>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</si>
  <si>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</si>
  <si>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</si>
  <si>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</si>
  <si>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</si>
  <si>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</si>
  <si>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</si>
  <si>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</si>
  <si>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</si>
  <si>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</si>
  <si>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</si>
  <si>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</si>
  <si>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</si>
  <si>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</si>
  <si>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</si>
  <si>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</si>
  <si>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</si>
  <si>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</si>
  <si>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</si>
  <si>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</si>
  <si>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</si>
  <si>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</si>
  <si>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</si>
  <si>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</si>
  <si>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</si>
  <si>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</si>
  <si>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</si>
  <si>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</si>
  <si>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</si>
  <si>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</si>
  <si>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</si>
  <si>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</si>
  <si>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</si>
  <si>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</si>
  <si>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</si>
  <si>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</si>
  <si>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</si>
  <si>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</si>
  <si>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</si>
  <si>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</si>
  <si>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</si>
  <si>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</si>
  <si>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</si>
  <si>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</si>
  <si>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</si>
  <si>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</si>
  <si>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</si>
  <si>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</si>
  <si>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</si>
  <si>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</si>
  <si>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</si>
  <si>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</si>
  <si>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</si>
  <si>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</si>
  <si>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</si>
  <si>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</si>
  <si>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</si>
  <si>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</si>
  <si>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</si>
  <si>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</si>
  <si>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</si>
  <si>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</si>
  <si>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</si>
  <si>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</si>
  <si>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</si>
  <si>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</si>
  <si>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</si>
  <si>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</si>
  <si>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</si>
  <si>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</si>
  <si>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</si>
  <si>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</si>
  <si>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</si>
  <si>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</si>
  <si>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</si>
  <si>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</si>
  <si>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</si>
  <si>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</si>
  <si>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</si>
  <si>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</si>
  <si>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</si>
  <si>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</si>
  <si>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</si>
  <si>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</si>
  <si>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</si>
  <si>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</si>
  <si>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</si>
  <si>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</si>
  <si>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</si>
  <si>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</si>
  <si>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</si>
  <si>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</si>
  <si>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</si>
  <si>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</si>
  <si>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</si>
  <si>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</si>
  <si>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</si>
  <si>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</si>
  <si>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</si>
  <si>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</si>
  <si>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</si>
  <si>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</si>
  <si>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</si>
  <si>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</si>
  <si>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</si>
  <si>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</si>
  <si>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</si>
  <si>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</si>
  <si>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</si>
  <si>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</si>
  <si>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</si>
  <si>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</si>
  <si>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</si>
  <si>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</si>
  <si>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</si>
  <si>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</si>
  <si>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</si>
  <si>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</si>
  <si>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</si>
  <si>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</si>
  <si>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</si>
  <si>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</si>
  <si>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</si>
  <si>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</si>
  <si>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</si>
  <si>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</si>
  <si>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</si>
  <si>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</si>
  <si>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</si>
  <si>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</si>
  <si>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</si>
  <si>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</si>
  <si>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</si>
  <si>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</si>
  <si>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</si>
  <si>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</si>
  <si>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</si>
  <si>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</si>
  <si>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</si>
  <si>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</si>
  <si>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</si>
  <si>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</si>
  <si>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</si>
  <si>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</si>
  <si>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</si>
  <si>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</si>
  <si>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</si>
  <si>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</si>
  <si>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</si>
  <si>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</si>
  <si>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</si>
  <si>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</si>
  <si>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</si>
  <si>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</si>
  <si>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</si>
  <si>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</si>
  <si>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</si>
  <si>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</si>
  <si>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</si>
  <si>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</si>
  <si>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</si>
  <si>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</si>
  <si>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</si>
  <si>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</si>
  <si>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</si>
  <si>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</si>
  <si>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</si>
  <si>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</si>
  <si>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</si>
  <si>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</si>
  <si>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</si>
  <si>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</si>
  <si>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</si>
  <si>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</si>
  <si>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</si>
  <si>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</si>
  <si>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</si>
  <si>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</si>
  <si>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</si>
  <si>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</si>
  <si>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</si>
  <si>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</si>
  <si>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</si>
  <si>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</si>
  <si>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</si>
  <si>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</si>
  <si>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</si>
  <si>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</si>
  <si>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</si>
  <si>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</si>
  <si>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</si>
  <si>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</si>
  <si>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</si>
  <si>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</si>
  <si>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</si>
  <si>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</si>
  <si>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</si>
  <si>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</si>
  <si>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</si>
  <si>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</si>
  <si>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</si>
  <si>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</si>
  <si>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</si>
  <si>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</si>
  <si>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</si>
  <si>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</si>
  <si>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</si>
  <si>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</si>
  <si>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</si>
  <si>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</si>
  <si>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</si>
  <si>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</si>
  <si>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</si>
  <si>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</si>
  <si>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</si>
  <si>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</si>
  <si>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</si>
  <si>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</si>
  <si>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</si>
  <si>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</si>
  <si>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</si>
  <si>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</si>
  <si>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</si>
  <si>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</si>
  <si>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</si>
  <si>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</si>
  <si>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</si>
  <si>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</si>
  <si>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</si>
  <si>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</si>
  <si>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</si>
  <si>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</si>
  <si>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</si>
  <si>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</si>
  <si>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</si>
  <si>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</si>
  <si>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</si>
  <si>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</si>
  <si>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</si>
  <si>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</si>
  <si>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</si>
  <si>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</si>
  <si>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</si>
  <si>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</si>
  <si>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</si>
  <si>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</si>
  <si>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</si>
  <si>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</si>
  <si>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</si>
  <si>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</si>
  <si>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</si>
  <si>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</si>
  <si>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</si>
  <si>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</si>
  <si>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</si>
  <si>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</si>
  <si>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</si>
  <si>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</si>
  <si>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</si>
  <si>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</si>
  <si>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</si>
  <si>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</si>
  <si>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</si>
  <si>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</si>
  <si>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</si>
  <si>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</si>
  <si>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</si>
  <si>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</si>
  <si>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</si>
  <si>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</si>
  <si>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</si>
  <si>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</si>
  <si>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</si>
  <si>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</si>
  <si>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</si>
  <si>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</si>
  <si>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</si>
  <si>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</si>
  <si>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</si>
  <si>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</si>
  <si>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</si>
  <si>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</si>
  <si>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</si>
  <si>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</si>
  <si>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</si>
  <si>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</si>
  <si>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</si>
  <si>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</si>
  <si>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</si>
  <si>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</si>
  <si>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</si>
  <si>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</si>
  <si>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</si>
  <si>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</si>
  <si>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</si>
  <si>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</si>
  <si>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</si>
  <si>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</si>
  <si>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</si>
  <si>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</si>
  <si>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</si>
  <si>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</si>
  <si>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</si>
  <si>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</si>
  <si>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</si>
  <si>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</si>
  <si>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</si>
  <si>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</si>
  <si>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</si>
  <si>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</si>
  <si>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</si>
  <si>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</si>
  <si>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</si>
  <si>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</si>
  <si>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</si>
  <si>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</si>
  <si>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</si>
  <si>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</si>
  <si>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</si>
  <si>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</si>
  <si>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</si>
  <si>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</si>
  <si>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</si>
  <si>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</si>
  <si>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</si>
  <si>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</si>
  <si>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</si>
  <si>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</si>
  <si>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</si>
  <si>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</si>
  <si>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</si>
  <si>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</si>
  <si>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</si>
  <si>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</si>
  <si>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</si>
  <si>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</si>
  <si>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</si>
  <si>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</si>
  <si>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</si>
  <si>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</si>
  <si>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</si>
  <si>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</si>
  <si>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</si>
  <si>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</si>
  <si>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</si>
  <si>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</si>
  <si>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</si>
  <si>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</si>
  <si>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</si>
  <si>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</si>
  <si>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</si>
  <si>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</si>
  <si>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</si>
  <si>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</si>
  <si>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</si>
  <si>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</si>
  <si>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</si>
  <si>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</si>
  <si>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</si>
  <si>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</si>
  <si>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</si>
  <si>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</si>
  <si>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</si>
  <si>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</si>
  <si>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</si>
  <si>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</si>
  <si>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</si>
  <si>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</si>
  <si>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</si>
  <si>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</si>
  <si>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</si>
  <si>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</si>
  <si>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</si>
  <si>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</si>
  <si>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</si>
  <si>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</si>
  <si>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</si>
  <si>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</si>
  <si>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</si>
  <si>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</si>
  <si>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</si>
  <si>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</si>
  <si>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</si>
  <si>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</si>
  <si>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</si>
  <si>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</si>
  <si>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</si>
  <si>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</si>
  <si>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</si>
  <si>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</si>
  <si>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</si>
  <si>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</si>
  <si>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</si>
  <si>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</si>
  <si>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</si>
  <si>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</si>
  <si>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</si>
  <si>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</si>
  <si>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</si>
  <si>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</si>
  <si>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</si>
  <si>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</si>
  <si>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</si>
  <si>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</si>
  <si>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</si>
  <si>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</si>
  <si>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</si>
  <si>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</si>
  <si>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</si>
  <si>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</si>
  <si>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</si>
  <si>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</si>
  <si>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</si>
  <si>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</si>
  <si>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</si>
  <si>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</si>
  <si>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</si>
  <si>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</si>
  <si>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</si>
  <si>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</si>
  <si>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</si>
  <si>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</si>
  <si>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</si>
  <si>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</si>
  <si>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</si>
  <si>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</si>
  <si>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</si>
  <si>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</si>
  <si>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</si>
  <si>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</si>
  <si>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</si>
  <si>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</si>
  <si>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</si>
  <si>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</si>
  <si>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</si>
  <si>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</si>
  <si>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</si>
  <si>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</si>
  <si>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</si>
  <si>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</si>
  <si>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</si>
  <si>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</si>
  <si>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</si>
  <si>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</si>
  <si>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</si>
  <si>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</si>
  <si>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</si>
  <si>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</si>
  <si>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</si>
  <si>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</si>
  <si>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</si>
  <si>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</si>
  <si>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</si>
  <si>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</si>
  <si>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</si>
  <si>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</si>
  <si>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</si>
  <si>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</si>
  <si>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</si>
  <si>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</si>
  <si>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</si>
  <si>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</si>
  <si>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</si>
  <si>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</si>
  <si>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</si>
  <si>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</si>
  <si>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</si>
  <si>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</si>
  <si>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</si>
  <si>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</si>
  <si>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</si>
  <si>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</si>
  <si>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</si>
  <si>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</si>
  <si>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</si>
  <si>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</si>
  <si>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</si>
  <si>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</si>
  <si>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</si>
  <si>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</si>
  <si>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</si>
  <si>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</si>
  <si>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</si>
  <si>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</si>
  <si>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</si>
  <si>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</si>
  <si>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</si>
  <si>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</si>
  <si>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</si>
  <si>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</si>
  <si>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</si>
  <si>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</si>
  <si>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</si>
  <si>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</si>
  <si>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</si>
  <si>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</si>
  <si>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</si>
  <si>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</si>
  <si>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</si>
  <si>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</si>
  <si>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</si>
  <si>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</si>
  <si>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</si>
  <si>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</si>
  <si>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</si>
  <si>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</si>
  <si>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</si>
  <si>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</si>
  <si>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</si>
  <si>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</si>
  <si>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</si>
  <si>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</si>
  <si>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</si>
  <si>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</si>
  <si>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</si>
  <si>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</si>
  <si>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</si>
  <si>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</si>
  <si>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</si>
  <si>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</si>
  <si>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</si>
  <si>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</si>
  <si>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</si>
  <si>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</si>
  <si>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</si>
  <si>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</si>
  <si>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</si>
  <si>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</si>
  <si>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</si>
  <si>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</si>
  <si>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</si>
  <si>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</si>
  <si>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</si>
  <si>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</si>
  <si>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</si>
  <si>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</si>
  <si>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</si>
  <si>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</si>
  <si>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</si>
  <si>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</si>
  <si>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</si>
  <si>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</si>
  <si>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</si>
  <si>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</si>
  <si>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</si>
  <si>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</si>
  <si>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</si>
  <si>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</si>
  <si>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</si>
  <si>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</si>
  <si>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</si>
  <si>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</si>
  <si>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</si>
  <si>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</si>
  <si>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</si>
  <si>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</si>
  <si>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</si>
  <si>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</si>
  <si>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</si>
  <si>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</si>
  <si>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</si>
  <si>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</si>
  <si>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</si>
  <si>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</si>
  <si>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</si>
  <si>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</si>
  <si>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</si>
  <si>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</si>
  <si>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</si>
  <si>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</si>
  <si>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</si>
  <si>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</si>
  <si>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</si>
  <si>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</si>
  <si>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</si>
  <si>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</si>
  <si>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</si>
  <si>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</si>
  <si>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</si>
  <si>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</si>
  <si>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</si>
  <si>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</si>
  <si>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</si>
  <si>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</si>
  <si>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</si>
  <si>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</si>
  <si>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</si>
  <si>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</si>
  <si>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</si>
  <si>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</si>
  <si>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</si>
  <si>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</si>
  <si>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</si>
  <si>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</si>
  <si>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</si>
  <si>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</si>
  <si>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</si>
  <si>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</si>
  <si>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</si>
  <si>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</si>
  <si>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</si>
  <si>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</si>
  <si>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</si>
  <si>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</si>
  <si>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</si>
  <si>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</si>
  <si>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</si>
  <si>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</si>
  <si>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</si>
  <si>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</si>
  <si>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</si>
  <si>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</si>
  <si>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</si>
  <si>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</si>
  <si>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</si>
  <si>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</si>
  <si>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</si>
  <si>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</si>
  <si>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</si>
  <si>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</si>
  <si>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</si>
  <si>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</si>
  <si>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</si>
  <si>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</si>
  <si>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</si>
  <si>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</si>
  <si>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</si>
  <si>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</si>
  <si>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</si>
  <si>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</si>
  <si>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</si>
  <si>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</si>
  <si>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</si>
  <si>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</si>
  <si>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</si>
  <si>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</si>
  <si>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</si>
  <si>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</si>
  <si>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</si>
  <si>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</si>
  <si>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</si>
  <si>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</si>
  <si>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</si>
  <si>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</si>
  <si>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</si>
  <si>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</si>
  <si>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</si>
  <si>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</si>
  <si>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</si>
  <si>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</si>
  <si>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</si>
  <si>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</si>
  <si>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</si>
  <si>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</si>
  <si>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</si>
  <si>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</si>
  <si>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</si>
  <si>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</si>
  <si>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</si>
  <si>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</si>
  <si>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</si>
  <si>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</si>
  <si>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</si>
  <si>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</si>
  <si>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</si>
  <si>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</si>
  <si>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</si>
  <si>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</si>
  <si>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</si>
  <si>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</si>
  <si>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</si>
  <si>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</si>
  <si>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</si>
  <si>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</si>
  <si>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</si>
  <si>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</si>
  <si>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</si>
  <si>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</si>
  <si>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</si>
  <si>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</si>
  <si>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</si>
  <si>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</si>
  <si>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</si>
  <si>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</si>
  <si>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</si>
  <si>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</si>
  <si>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</si>
  <si>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</si>
  <si>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</si>
  <si>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</si>
  <si>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</si>
  <si>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</si>
  <si>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</si>
  <si>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</si>
  <si>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</si>
  <si>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</si>
  <si>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</si>
  <si>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</si>
  <si>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</si>
  <si>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</si>
  <si>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</si>
  <si>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</si>
  <si>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</si>
  <si>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</si>
  <si>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</si>
  <si>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</si>
  <si>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</si>
  <si>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</si>
  <si>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</si>
  <si>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</si>
  <si>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</si>
  <si>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</si>
  <si>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</si>
  <si>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</si>
  <si>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</si>
  <si>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</si>
  <si>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</si>
  <si>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</si>
  <si>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</si>
  <si>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</si>
  <si>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</si>
  <si>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</si>
  <si>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</si>
  <si>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</si>
  <si>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</si>
  <si>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</si>
  <si>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</si>
  <si>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</si>
  <si>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</si>
  <si>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</si>
  <si>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</si>
  <si>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</si>
  <si>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</si>
  <si>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</si>
  <si>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</si>
  <si>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</si>
  <si>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</si>
  <si>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</si>
  <si>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</si>
  <si>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</si>
  <si>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</si>
  <si>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</si>
  <si>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</si>
  <si>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</si>
  <si>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</si>
  <si>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</si>
  <si>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</si>
  <si>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</si>
  <si>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</si>
  <si>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</si>
  <si>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</si>
  <si>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</si>
  <si>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</si>
  <si>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</si>
  <si>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</si>
  <si>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</si>
  <si>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</si>
  <si>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</si>
  <si>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</si>
  <si>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</si>
  <si>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</si>
  <si>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</si>
  <si>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</si>
  <si>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</si>
  <si>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</si>
  <si>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</si>
  <si>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</si>
  <si>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</si>
  <si>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</si>
  <si>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</si>
  <si>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</si>
  <si>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</si>
  <si>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</si>
  <si>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</si>
  <si>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</si>
  <si>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</si>
  <si>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</si>
  <si>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</si>
  <si>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</si>
  <si>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</si>
  <si>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</si>
  <si>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</si>
  <si>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</si>
  <si>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</si>
  <si>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</si>
  <si>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</si>
  <si>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</si>
  <si>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</si>
  <si>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</si>
  <si>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</si>
  <si>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</si>
  <si>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</si>
  <si>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</si>
  <si>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</si>
  <si>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</si>
  <si>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</si>
  <si>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</si>
  <si>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</si>
  <si>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</si>
  <si>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</si>
  <si>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</si>
  <si>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</si>
  <si>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</si>
  <si>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</si>
  <si>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</si>
  <si>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</si>
  <si>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</si>
  <si>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</si>
  <si>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</si>
  <si>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</si>
  <si>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</si>
  <si>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</si>
  <si>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</si>
  <si>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</si>
  <si>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</si>
  <si>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</si>
  <si>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</si>
  <si>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</si>
  <si>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</si>
  <si>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</si>
  <si>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</si>
  <si>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</si>
  <si>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</si>
  <si>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</si>
  <si>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</si>
  <si>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</si>
  <si>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</si>
  <si>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</si>
  <si>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</si>
  <si>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</si>
  <si>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</si>
  <si>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</si>
  <si>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</si>
  <si>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</si>
  <si>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</si>
  <si>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</si>
  <si>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</si>
  <si>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</si>
  <si>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</si>
  <si>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</si>
  <si>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</si>
  <si>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</si>
  <si>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</si>
  <si>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</si>
  <si>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</si>
  <si>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</si>
  <si>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</si>
  <si>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</si>
  <si>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</si>
  <si>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</si>
  <si>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</si>
  <si>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</si>
  <si>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</si>
  <si>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</si>
  <si>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</si>
  <si>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</si>
  <si>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</si>
  <si>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</si>
  <si>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</si>
  <si>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</si>
  <si>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</si>
  <si>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</si>
  <si>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</si>
  <si>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</si>
  <si>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</si>
  <si>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</si>
  <si>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</si>
  <si>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</si>
  <si>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</si>
  <si>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</si>
  <si>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</si>
  <si>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</si>
  <si>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</si>
  <si>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</si>
  <si>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</si>
  <si>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</si>
  <si>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</si>
  <si>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</si>
  <si>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</si>
  <si>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</si>
  <si>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</si>
  <si>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</si>
  <si>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</si>
  <si>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</si>
  <si>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</si>
  <si>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</si>
  <si>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</si>
  <si>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</si>
  <si>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</si>
  <si>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</si>
  <si>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</si>
  <si>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</si>
  <si>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</si>
  <si>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</si>
  <si>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</si>
  <si>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</si>
  <si>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</si>
  <si>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</si>
  <si>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</si>
  <si>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</si>
  <si>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</si>
  <si>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</si>
  <si>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</si>
  <si>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</si>
  <si>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</si>
  <si>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</si>
  <si>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</si>
  <si>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</si>
  <si>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</si>
  <si>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</si>
  <si>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</si>
  <si>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</si>
  <si>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</si>
  <si>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</si>
  <si>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</si>
  <si>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</si>
  <si>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</si>
  <si>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</si>
  <si>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</si>
  <si>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</si>
  <si>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</si>
  <si>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</si>
  <si>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</si>
  <si>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</si>
  <si>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</si>
  <si>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</si>
  <si>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</si>
  <si>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</si>
  <si>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</si>
  <si>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</si>
  <si>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</si>
  <si>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</si>
  <si>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</si>
  <si>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</si>
  <si>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</si>
  <si>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</si>
  <si>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</si>
  <si>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</si>
  <si>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</si>
  <si>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</si>
  <si>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</si>
  <si>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</si>
  <si>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</si>
  <si>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</si>
  <si>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</si>
  <si>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</si>
  <si>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</si>
  <si>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</si>
  <si>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</si>
  <si>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</si>
  <si>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</si>
  <si>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</si>
  <si>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</si>
  <si>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</si>
  <si>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</si>
  <si>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</si>
  <si>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</si>
  <si>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</si>
  <si>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</si>
  <si>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</si>
  <si>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</si>
  <si>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</si>
  <si>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</si>
  <si>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</si>
  <si>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</si>
  <si>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</si>
  <si>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</si>
  <si>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</si>
  <si>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</si>
  <si>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</si>
  <si>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</si>
  <si>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</si>
  <si>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</si>
  <si>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</si>
  <si>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</si>
  <si>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</si>
  <si>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</si>
  <si>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</si>
  <si>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</si>
  <si>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</si>
  <si>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</si>
  <si>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</si>
  <si>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</si>
  <si>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</si>
  <si>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</si>
  <si>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</si>
  <si>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</si>
  <si>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</si>
  <si>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</si>
  <si>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</si>
  <si>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</si>
  <si>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</si>
  <si>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</si>
  <si>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</si>
  <si>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</si>
  <si>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</si>
  <si>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</si>
  <si>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</si>
  <si>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</si>
  <si>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</si>
  <si>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</si>
  <si>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</si>
  <si>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</si>
  <si>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</si>
  <si>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</si>
  <si>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</si>
  <si>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</si>
  <si>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</si>
  <si>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</si>
  <si>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</si>
  <si>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</si>
  <si>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</si>
  <si>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</si>
  <si>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</si>
  <si>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</si>
  <si>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</si>
  <si>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</si>
  <si>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</si>
  <si>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</si>
  <si>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</si>
  <si>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</si>
  <si>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</si>
  <si>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</si>
  <si>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</si>
  <si>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</si>
  <si>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</si>
  <si>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</si>
  <si>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</si>
  <si>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</si>
  <si>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</si>
  <si>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</si>
  <si>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</si>
  <si>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</si>
  <si>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</si>
  <si>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</si>
  <si>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</si>
  <si>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</si>
  <si>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</si>
  <si>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</si>
  <si>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</si>
  <si>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</si>
  <si>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</si>
  <si>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</si>
  <si>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</si>
  <si>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</si>
  <si>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</si>
  <si>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</si>
  <si>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</si>
  <si>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</si>
  <si>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</si>
  <si>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</si>
  <si>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</si>
  <si>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</si>
  <si>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</si>
  <si>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</si>
  <si>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</si>
  <si>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</si>
  <si>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</si>
  <si>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</si>
  <si>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</si>
  <si>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</si>
  <si>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</si>
  <si>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</si>
  <si>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</si>
  <si>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</si>
  <si>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</si>
  <si>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</si>
  <si>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</si>
  <si>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</si>
  <si>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</si>
  <si>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</si>
  <si>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</si>
  <si>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</si>
  <si>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</si>
  <si>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</si>
  <si>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</si>
  <si>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</si>
  <si>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</si>
  <si>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</si>
  <si>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</si>
  <si>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</si>
  <si>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</si>
  <si>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</si>
  <si>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</si>
  <si>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</si>
  <si>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</si>
  <si>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</si>
  <si>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</si>
  <si>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</si>
  <si>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</si>
  <si>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</si>
  <si>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</si>
  <si>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</si>
  <si>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</si>
  <si>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</si>
  <si>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</si>
  <si>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</si>
  <si>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</si>
  <si>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</si>
  <si>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</si>
  <si>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</si>
  <si>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</si>
  <si>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</si>
  <si>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</si>
  <si>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</si>
  <si>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</si>
  <si>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</si>
  <si>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</si>
  <si>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</si>
  <si>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</si>
  <si>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</si>
  <si>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</si>
  <si>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</si>
  <si>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</si>
  <si>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</si>
  <si>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</si>
  <si>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</si>
  <si>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</si>
  <si>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</si>
  <si>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</si>
  <si>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</si>
  <si>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</si>
  <si>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</si>
  <si>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</si>
  <si>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</si>
  <si>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</si>
  <si>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</si>
  <si>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</si>
  <si>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</si>
  <si>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</si>
  <si>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</si>
  <si>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</si>
  <si>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</si>
  <si>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</si>
  <si>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</si>
  <si>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</si>
  <si>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</si>
  <si>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</si>
  <si>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</si>
  <si>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</si>
  <si>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</si>
  <si>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</si>
  <si>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</si>
  <si>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</si>
  <si>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</si>
  <si>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</si>
  <si>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</si>
  <si>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</si>
  <si>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</si>
  <si>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</si>
  <si>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</si>
  <si>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</si>
  <si>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</si>
  <si>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</si>
  <si>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</si>
  <si>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</si>
  <si>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</si>
  <si>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</si>
  <si>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</si>
  <si>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</si>
  <si>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</si>
  <si>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</si>
  <si>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</si>
  <si>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</si>
  <si>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</si>
  <si>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</si>
  <si>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</si>
  <si>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</si>
  <si>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</si>
  <si>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</si>
  <si>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</si>
  <si>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</si>
  <si>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</si>
  <si>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</si>
  <si>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</si>
  <si>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</si>
  <si>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</si>
  <si>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</si>
  <si>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</si>
  <si>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</si>
  <si>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</si>
  <si>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</si>
  <si>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</si>
  <si>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</si>
  <si>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</si>
  <si>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</si>
  <si>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</si>
  <si>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</si>
  <si>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</si>
  <si>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</si>
  <si>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</si>
  <si>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</si>
  <si>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</si>
  <si>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</si>
  <si>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</si>
  <si>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</si>
  <si>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</si>
  <si>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</si>
  <si>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</si>
  <si>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</si>
  <si>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</si>
  <si>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</si>
  <si>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</si>
  <si>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</si>
  <si>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</si>
  <si>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</si>
  <si>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</si>
  <si>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</si>
  <si>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</si>
  <si>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</si>
  <si>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</si>
  <si>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</si>
  <si>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</si>
  <si>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</si>
  <si>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</si>
  <si>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</si>
  <si>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</si>
  <si>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</si>
  <si>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</si>
  <si>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</si>
  <si>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</si>
  <si>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</si>
  <si>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</si>
  <si>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</si>
  <si>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</si>
  <si>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</si>
  <si>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</si>
  <si>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</si>
  <si>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</si>
  <si>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</si>
  <si>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</si>
  <si>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</si>
  <si>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</si>
  <si>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</si>
  <si>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</si>
  <si>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</si>
  <si>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</si>
  <si>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</si>
  <si>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</si>
  <si>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</si>
  <si>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</si>
  <si>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</si>
  <si>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</si>
  <si>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</si>
  <si>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</si>
  <si>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</si>
  <si>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</si>
  <si>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</si>
  <si>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</si>
  <si>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</si>
  <si>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</si>
  <si>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</si>
  <si>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</si>
  <si>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</si>
  <si>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</si>
  <si>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</si>
  <si>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</si>
  <si>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</si>
  <si>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</si>
  <si>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</si>
  <si>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</si>
  <si>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</si>
  <si>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</si>
  <si>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</si>
  <si>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</si>
  <si>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</si>
  <si>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</si>
  <si>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</si>
  <si>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</si>
  <si>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</si>
  <si>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</si>
  <si>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</si>
  <si>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</si>
  <si>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</si>
  <si>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</si>
  <si>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</si>
  <si>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</si>
  <si>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</si>
  <si>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</si>
  <si>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</si>
  <si>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</si>
  <si>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</si>
  <si>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</si>
  <si>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</si>
  <si>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</si>
  <si>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</si>
  <si>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</si>
  <si>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</si>
  <si>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</si>
  <si>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</si>
  <si>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</si>
  <si>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</si>
  <si>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</si>
  <si>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</si>
  <si>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</si>
  <si>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</si>
  <si>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</si>
  <si>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</si>
  <si>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</si>
  <si>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</si>
  <si>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</si>
  <si>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</si>
  <si>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</si>
  <si>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</si>
  <si>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</si>
  <si>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</si>
  <si>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</si>
  <si>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</si>
  <si>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</si>
  <si>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</si>
  <si>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</si>
  <si>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</si>
  <si>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</si>
  <si>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</si>
  <si>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</si>
  <si>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</si>
  <si>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</si>
  <si>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</si>
  <si>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</si>
  <si>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</si>
  <si>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</si>
  <si>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</si>
  <si>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</si>
  <si>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</si>
  <si>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</si>
  <si>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</si>
  <si>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</si>
  <si>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</si>
  <si>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</si>
  <si>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</si>
  <si>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</si>
  <si>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</si>
  <si>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</si>
  <si>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</si>
  <si>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</si>
  <si>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</si>
  <si>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</si>
  <si>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</si>
  <si>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</si>
  <si>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</si>
  <si>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</si>
  <si>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</si>
  <si>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</si>
  <si>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</si>
  <si>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</si>
  <si>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</si>
  <si>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</si>
  <si>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</si>
  <si>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</si>
  <si>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</si>
  <si>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</si>
  <si>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</si>
  <si>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</si>
  <si>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</si>
  <si>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</si>
  <si>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</si>
  <si>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</si>
  <si>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</si>
  <si>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</si>
  <si>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</si>
  <si>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</si>
  <si>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</si>
  <si>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</si>
  <si>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</si>
  <si>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</si>
  <si>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</si>
  <si>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</si>
  <si>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</si>
  <si>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</si>
  <si>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</si>
  <si>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</si>
  <si>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</si>
  <si>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</si>
  <si>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</si>
  <si>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</si>
  <si>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</si>
  <si>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</si>
  <si>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</si>
  <si>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</si>
  <si>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</si>
  <si>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</si>
  <si>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</si>
  <si>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</si>
  <si>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</si>
  <si>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</si>
  <si>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</si>
  <si>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</si>
  <si>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</si>
  <si>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</si>
  <si>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</si>
  <si>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</si>
  <si>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</si>
  <si>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</si>
  <si>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</si>
  <si>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</si>
  <si>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</si>
  <si>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</si>
  <si>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</si>
  <si>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</si>
  <si>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</si>
  <si>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</si>
  <si>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</si>
  <si>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</si>
  <si>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</si>
  <si>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</si>
  <si>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</si>
  <si>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</si>
  <si>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</si>
  <si>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</si>
  <si>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</si>
  <si>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</si>
  <si>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</si>
  <si>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</si>
  <si>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</si>
  <si>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</si>
  <si>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</si>
  <si>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</si>
  <si>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</si>
  <si>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</si>
  <si>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</si>
  <si>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</si>
  <si>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</si>
  <si>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</si>
  <si>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</si>
  <si>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</si>
  <si>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</si>
  <si>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</si>
  <si>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</si>
  <si>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</si>
  <si>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</si>
  <si>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</si>
  <si>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</si>
  <si>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</si>
  <si>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</si>
  <si>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</si>
  <si>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</si>
  <si>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</si>
  <si>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</si>
  <si>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</si>
  <si>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</si>
  <si>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</si>
  <si>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</si>
  <si>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</si>
  <si>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</si>
  <si>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</si>
  <si>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</si>
  <si>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</si>
  <si>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</si>
  <si>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</si>
  <si>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</si>
  <si>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</si>
  <si>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</si>
  <si>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</si>
  <si>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</si>
  <si>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</si>
  <si>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</si>
  <si>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</si>
  <si>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</si>
  <si>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</si>
  <si>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</si>
  <si>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</si>
  <si>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</si>
  <si>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</si>
  <si>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</si>
  <si>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</si>
  <si>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</si>
  <si>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</si>
  <si>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</si>
  <si>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</si>
  <si>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</si>
  <si>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</si>
  <si>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</si>
  <si>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</si>
  <si>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</si>
  <si>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</si>
  <si>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</si>
  <si>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</si>
  <si>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</si>
  <si>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</si>
  <si>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</si>
  <si>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</si>
  <si>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</si>
  <si>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</si>
  <si>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</si>
  <si>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</si>
  <si>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</si>
  <si>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</si>
  <si>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</si>
  <si>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</si>
  <si>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</si>
  <si>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</si>
  <si>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</si>
  <si>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</si>
  <si>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</si>
  <si>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</si>
  <si>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</si>
  <si>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</si>
  <si>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</si>
  <si>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</si>
  <si>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</si>
  <si>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</si>
  <si>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</si>
  <si>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</si>
  <si>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</si>
  <si>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</si>
  <si>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</si>
  <si>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</si>
  <si>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</si>
  <si>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</si>
  <si>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</si>
  <si>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</si>
  <si>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</si>
  <si>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</si>
  <si>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</si>
  <si>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</si>
  <si>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</si>
  <si>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</si>
  <si>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</si>
  <si>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</si>
  <si>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</si>
  <si>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</si>
  <si>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</si>
  <si>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</si>
  <si>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</si>
  <si>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</si>
  <si>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</si>
  <si>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</si>
  <si>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</si>
  <si>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</si>
  <si>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</si>
  <si>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</si>
  <si>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</si>
  <si>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</si>
  <si>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</si>
  <si>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</si>
  <si>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</si>
  <si>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</si>
  <si>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</si>
  <si>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</si>
  <si>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</si>
  <si>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</si>
  <si>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</si>
  <si>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</si>
  <si>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</si>
  <si>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</si>
  <si>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</si>
  <si>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</si>
  <si>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</si>
  <si>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</si>
  <si>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</si>
  <si>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</si>
  <si>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</si>
  <si>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</si>
  <si>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</si>
  <si>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</si>
  <si>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</si>
  <si>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</si>
  <si>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</si>
  <si>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</si>
  <si>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</si>
  <si>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</si>
  <si>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</si>
  <si>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</si>
  <si>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</si>
  <si>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</si>
  <si>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</si>
  <si>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</si>
  <si>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</si>
  <si>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</si>
  <si>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</si>
  <si>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</si>
  <si>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</si>
  <si>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</si>
  <si>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</si>
  <si>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</si>
  <si>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</si>
  <si>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</si>
  <si>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</si>
  <si>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</si>
  <si>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</si>
  <si>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</si>
  <si>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</si>
  <si>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</si>
  <si>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</si>
  <si>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</si>
  <si>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</si>
  <si>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</si>
  <si>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</si>
  <si>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</si>
  <si>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</si>
  <si>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</si>
  <si>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</si>
  <si>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</si>
  <si>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</si>
  <si>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</si>
  <si>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</si>
  <si>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</si>
  <si>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</si>
  <si>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</si>
  <si>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</si>
  <si>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</si>
  <si>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</si>
  <si>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</si>
  <si>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</si>
  <si>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</si>
  <si>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</si>
  <si>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</si>
  <si>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</si>
  <si>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</si>
  <si>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</si>
  <si>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</si>
  <si>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</si>
  <si>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</si>
  <si>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</si>
  <si>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</si>
  <si>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</si>
  <si>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</si>
  <si>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</si>
  <si>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</si>
  <si>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</si>
  <si>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</si>
  <si>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</si>
  <si>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</si>
  <si>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</si>
  <si>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</si>
  <si>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</si>
  <si>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</si>
  <si>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</si>
  <si>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</si>
  <si>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</si>
  <si>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</si>
  <si>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</si>
  <si>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</si>
  <si>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</si>
  <si>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</si>
  <si>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</si>
  <si>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</si>
  <si>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</si>
  <si>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</si>
  <si>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</si>
  <si>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</si>
  <si>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</si>
  <si>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</si>
  <si>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</si>
  <si>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</si>
  <si>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</si>
  <si>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</si>
  <si>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</si>
  <si>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</si>
  <si>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</si>
  <si>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</si>
  <si>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</si>
  <si>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</si>
  <si>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</si>
  <si>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</si>
  <si>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</si>
  <si>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</si>
  <si>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</si>
  <si>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</si>
  <si>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</si>
  <si>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</si>
  <si>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</si>
  <si>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</si>
  <si>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</si>
  <si>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</si>
  <si>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</si>
  <si>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</si>
  <si>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</si>
  <si>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</si>
  <si>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</si>
  <si>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</si>
  <si>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</si>
  <si>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</si>
  <si>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</si>
  <si>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</si>
  <si>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</si>
  <si>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</si>
  <si>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</si>
  <si>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</si>
  <si>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</si>
  <si>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</si>
  <si>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</si>
  <si>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</si>
  <si>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</si>
  <si>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</si>
  <si>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</si>
  <si>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</si>
  <si>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</si>
  <si>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</si>
  <si>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</si>
  <si>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</si>
  <si>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</si>
  <si>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</si>
  <si>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</si>
  <si>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</si>
  <si>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</si>
  <si>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</si>
  <si>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</si>
  <si>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</si>
  <si>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</si>
  <si>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</si>
  <si>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</si>
  <si>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</si>
  <si>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</si>
  <si>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</si>
  <si>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</si>
  <si>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</si>
  <si>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</si>
  <si>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</si>
  <si>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</si>
  <si>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</si>
  <si>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</si>
  <si>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</si>
  <si>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</si>
  <si>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</si>
  <si>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</si>
  <si>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</si>
  <si>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</si>
  <si>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</si>
  <si>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</si>
  <si>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</si>
  <si>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</si>
  <si>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</si>
  <si>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</si>
  <si>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</si>
  <si>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</si>
  <si>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</si>
  <si>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</si>
  <si>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</si>
  <si>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</si>
  <si>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</si>
  <si>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</si>
  <si>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</si>
  <si>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</si>
  <si>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</si>
  <si>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</si>
  <si>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</si>
  <si>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</si>
  <si>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</si>
  <si>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</si>
  <si>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</si>
  <si>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</si>
  <si>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</si>
  <si>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</si>
  <si>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</si>
  <si>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</si>
  <si>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</si>
  <si>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</si>
  <si>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</si>
  <si>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</si>
  <si>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</si>
  <si>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</si>
  <si>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</si>
  <si>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</si>
  <si>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</si>
  <si>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</si>
  <si>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</si>
  <si>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</si>
  <si>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</si>
  <si>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</si>
  <si>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</si>
  <si>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</si>
  <si>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</si>
  <si>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</si>
  <si>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</si>
  <si>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</si>
  <si>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</si>
  <si>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</si>
  <si>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</si>
  <si>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</si>
  <si>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</si>
  <si>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</si>
  <si>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</si>
  <si>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</si>
  <si>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</si>
  <si>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</si>
  <si>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</si>
  <si>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</si>
  <si>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</si>
  <si>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</si>
  <si>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</si>
  <si>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</si>
  <si>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</si>
  <si>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</si>
  <si>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</si>
  <si>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</si>
  <si>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</si>
  <si>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</si>
  <si>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</si>
  <si>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</si>
  <si>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</si>
  <si>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</si>
  <si>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</si>
  <si>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</si>
  <si>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</si>
  <si>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</si>
  <si>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</si>
  <si>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</si>
  <si>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</si>
  <si>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</si>
  <si>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</si>
  <si>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</si>
  <si>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</si>
  <si>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</si>
  <si>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</si>
  <si>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</si>
  <si>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</si>
  <si>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</si>
  <si>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</si>
  <si>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</si>
  <si>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</si>
  <si>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</si>
  <si>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</si>
  <si>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</si>
  <si>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</si>
  <si>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</si>
  <si>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</si>
  <si>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</si>
  <si>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</si>
  <si>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</si>
  <si>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</si>
  <si>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</si>
  <si>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</si>
  <si>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</si>
  <si>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</si>
  <si>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</si>
  <si>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</si>
  <si>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</si>
  <si>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</si>
  <si>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</si>
  <si>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</si>
  <si>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</si>
  <si>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</si>
  <si>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</si>
  <si>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</si>
  <si>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</si>
  <si>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</si>
  <si>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</si>
  <si>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</si>
  <si>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</si>
  <si>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</si>
  <si>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</si>
  <si>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</si>
  <si>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</si>
  <si>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</si>
  <si>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</si>
  <si>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</si>
  <si>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</si>
  <si>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</si>
  <si>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</si>
  <si>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</si>
  <si>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</si>
  <si>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</si>
  <si>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</si>
  <si>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</si>
  <si>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</si>
  <si>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</si>
  <si>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</si>
  <si>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</si>
  <si>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</si>
  <si>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</si>
  <si>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</si>
  <si>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</si>
  <si>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</si>
  <si>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</si>
  <si>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</si>
  <si>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</si>
  <si>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</si>
  <si>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</si>
  <si>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</si>
  <si>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</si>
  <si>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</si>
  <si>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</si>
  <si>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</si>
  <si>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</si>
  <si>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</si>
  <si>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</si>
  <si>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</si>
  <si>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</si>
  <si>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</si>
  <si>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</si>
  <si>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</si>
  <si>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</si>
  <si>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</si>
  <si>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</si>
  <si>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</si>
  <si>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</si>
  <si>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</si>
  <si>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</si>
  <si>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</si>
  <si>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</si>
  <si>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</si>
  <si>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</si>
  <si>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</si>
  <si>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</si>
  <si>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</si>
  <si>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</si>
  <si>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</si>
  <si>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</si>
  <si>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</si>
  <si>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</si>
  <si>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</si>
  <si>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</si>
  <si>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</si>
  <si>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</si>
  <si>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</si>
  <si>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</si>
  <si>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</si>
  <si>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</si>
  <si>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</si>
  <si>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</si>
  <si>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</si>
  <si>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</si>
  <si>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</si>
  <si>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</si>
  <si>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</si>
  <si>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</si>
  <si>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</si>
  <si>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</si>
  <si>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</si>
  <si>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</si>
  <si>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</si>
  <si>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</si>
  <si>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</si>
  <si>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</si>
  <si>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</si>
  <si>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</si>
  <si>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</si>
  <si>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</si>
  <si>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</si>
  <si>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</si>
  <si>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</si>
  <si>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</si>
  <si>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</si>
  <si>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</si>
  <si>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</si>
  <si>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</si>
  <si>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</si>
  <si>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</si>
  <si>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</si>
  <si>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</si>
  <si>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</si>
  <si>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</si>
  <si>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</si>
  <si>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</si>
  <si>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</si>
  <si>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</si>
  <si>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</si>
  <si>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</si>
  <si>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</si>
  <si>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</si>
  <si>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</si>
  <si>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</si>
  <si>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</si>
  <si>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</si>
  <si>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</si>
  <si>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</si>
  <si>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</si>
  <si>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</si>
  <si>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</si>
  <si>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</si>
  <si>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</si>
  <si>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</si>
  <si>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</si>
  <si>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</si>
  <si>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</si>
  <si>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</si>
  <si>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</si>
  <si>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</si>
  <si>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</si>
  <si>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</si>
  <si>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</si>
  <si>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</si>
  <si>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</si>
  <si>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</si>
  <si>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</si>
  <si>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</si>
  <si>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</si>
  <si>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</si>
  <si>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</si>
  <si>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</si>
  <si>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</si>
  <si>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</si>
  <si>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</si>
  <si>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</si>
  <si>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</si>
  <si>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</si>
  <si>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</si>
  <si>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</si>
  <si>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</si>
  <si>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</si>
  <si>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</si>
  <si>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</si>
  <si>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</si>
  <si>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</si>
  <si>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</si>
  <si>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</si>
  <si>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</si>
  <si>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</si>
  <si>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</si>
  <si>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</si>
  <si>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</si>
  <si>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</si>
  <si>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</si>
  <si>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</si>
  <si>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</si>
  <si>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</si>
  <si>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</si>
  <si>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</si>
  <si>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</si>
  <si>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</si>
  <si>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</si>
  <si>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</si>
  <si>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</si>
  <si>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</si>
  <si>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</si>
  <si>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</si>
  <si>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</si>
  <si>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</si>
  <si>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</si>
  <si>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</si>
  <si>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</si>
  <si>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</si>
  <si>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</si>
  <si>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</si>
  <si>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</si>
  <si>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</si>
  <si>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</si>
  <si>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</si>
  <si>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</si>
  <si>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</si>
  <si>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</si>
  <si>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</si>
  <si>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</si>
  <si>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</si>
  <si>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</si>
  <si>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</si>
  <si>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</si>
  <si>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</si>
  <si>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</si>
  <si>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</si>
  <si>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</si>
  <si>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</si>
  <si>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</si>
  <si>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</si>
  <si>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</si>
  <si>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</si>
  <si>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</si>
  <si>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</si>
  <si>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</si>
  <si>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</si>
  <si>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</si>
  <si>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</si>
  <si>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</si>
  <si>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</si>
  <si>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</si>
  <si>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</si>
  <si>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</si>
  <si>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</si>
  <si>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</si>
  <si>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</si>
  <si>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</si>
  <si>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</si>
  <si>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</si>
  <si>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</si>
  <si>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</si>
  <si>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</si>
  <si>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</si>
  <si>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</si>
  <si>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</si>
  <si>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</si>
  <si>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</si>
  <si>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</si>
  <si>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</si>
  <si>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</si>
  <si>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</si>
  <si>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</si>
  <si>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</si>
  <si>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</si>
  <si>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</si>
  <si>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</si>
  <si>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</si>
  <si>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</si>
  <si>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</si>
  <si>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</si>
  <si>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</si>
  <si>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</si>
  <si>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</si>
  <si>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</si>
  <si>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</si>
  <si>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</si>
  <si>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</si>
  <si>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</si>
  <si>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</si>
  <si>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</si>
  <si>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</si>
  <si>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</si>
  <si>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</si>
  <si>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</si>
  <si>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</si>
  <si>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</si>
  <si>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</si>
  <si>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</si>
  <si>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</si>
  <si>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</si>
  <si>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</si>
  <si>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</si>
  <si>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</si>
  <si>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</si>
  <si>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</si>
  <si>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</si>
  <si>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</si>
  <si>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</si>
  <si>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</si>
  <si>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</si>
  <si>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</si>
  <si>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</si>
  <si>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</si>
  <si>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</si>
  <si>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</si>
  <si>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</si>
  <si>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</si>
  <si>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</si>
  <si>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</si>
  <si>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</si>
  <si>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</si>
  <si>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</si>
  <si>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</si>
  <si>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</si>
  <si>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</si>
  <si>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</si>
  <si>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</si>
  <si>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</si>
  <si>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</si>
  <si>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</si>
  <si>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</si>
  <si>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</si>
  <si>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</si>
  <si>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</si>
  <si>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</si>
  <si>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</si>
  <si>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</si>
  <si>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</si>
  <si>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</si>
  <si>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</si>
  <si>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</si>
  <si>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</si>
  <si>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</si>
  <si>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</si>
  <si>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</si>
  <si>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</si>
  <si>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</si>
  <si>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</si>
  <si>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</si>
  <si>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</si>
  <si>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</si>
  <si>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</si>
  <si>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</si>
  <si>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</si>
  <si>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</si>
  <si>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</si>
  <si>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</si>
  <si>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</si>
  <si>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</si>
  <si>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</si>
  <si>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</si>
  <si>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</si>
  <si>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</si>
  <si>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</si>
  <si>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</si>
  <si>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</si>
  <si>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</si>
  <si>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</si>
  <si>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</si>
  <si>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</si>
  <si>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</si>
  <si>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</si>
  <si>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</si>
  <si>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</si>
  <si>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</si>
  <si>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</si>
  <si>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</si>
  <si>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</si>
  <si>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</si>
  <si>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</si>
  <si>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</si>
  <si>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</si>
  <si>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</si>
  <si>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</si>
  <si>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</si>
  <si>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</si>
  <si>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</si>
  <si>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</si>
  <si>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</si>
  <si>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</si>
  <si>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</si>
  <si>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</si>
  <si>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</si>
  <si>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</si>
  <si>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</si>
  <si>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</si>
  <si>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</si>
  <si>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</si>
  <si>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</si>
  <si>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</si>
  <si>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</si>
  <si>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</si>
  <si>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</si>
  <si>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</si>
  <si>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</si>
  <si>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</si>
  <si>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</si>
  <si>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</si>
  <si>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</si>
  <si>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</si>
  <si>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</si>
  <si>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</si>
  <si>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</si>
  <si>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</si>
  <si>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</si>
  <si>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</si>
  <si>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</si>
  <si>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</si>
  <si>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</si>
  <si>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</si>
  <si>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</si>
  <si>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</si>
  <si>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</si>
  <si>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</si>
  <si>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</si>
  <si>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</si>
  <si>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</si>
  <si>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</si>
  <si>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</si>
  <si>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</si>
  <si>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</si>
  <si>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</si>
  <si>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</si>
  <si>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</si>
  <si>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</si>
  <si>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</si>
  <si>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</si>
  <si>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</si>
  <si>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</si>
  <si>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</si>
  <si>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</si>
  <si>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</si>
  <si>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</si>
  <si>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</si>
  <si>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</si>
  <si>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</si>
  <si>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</si>
  <si>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</si>
  <si>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</si>
  <si>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</si>
  <si>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</si>
  <si>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</si>
  <si>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</si>
  <si>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</si>
  <si>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</si>
  <si>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</si>
  <si>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</si>
  <si>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</si>
  <si>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</si>
  <si>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</si>
  <si>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</si>
  <si>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</si>
  <si>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</si>
  <si>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</si>
  <si>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</si>
  <si>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</si>
  <si>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</si>
  <si>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</si>
  <si>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</si>
  <si>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</si>
  <si>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</si>
  <si>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</si>
  <si>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</si>
  <si>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</si>
  <si>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</si>
  <si>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</si>
  <si>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</si>
  <si>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</si>
  <si>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</si>
  <si>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</si>
  <si>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</si>
  <si>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</si>
  <si>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</si>
  <si>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</si>
  <si>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</si>
  <si>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</si>
  <si>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</si>
  <si>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</si>
  <si>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</si>
  <si>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</si>
  <si>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</si>
  <si>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</si>
  <si>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</si>
  <si>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</si>
  <si>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</si>
  <si>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</si>
  <si>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</si>
  <si>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</si>
  <si>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</si>
  <si>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</si>
  <si>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</si>
  <si>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</si>
  <si>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</si>
  <si>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</si>
  <si>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</si>
  <si>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</si>
  <si>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</si>
  <si>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</si>
  <si>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</si>
  <si>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</si>
  <si>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</si>
  <si>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</si>
  <si>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</si>
  <si>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</si>
  <si>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</si>
  <si>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</si>
  <si>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</si>
  <si>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</si>
  <si>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</si>
  <si>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</si>
  <si>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</si>
  <si>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</si>
  <si>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</si>
  <si>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</si>
  <si>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</si>
  <si>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</si>
  <si>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</si>
  <si>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</si>
  <si>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</si>
  <si>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</si>
  <si>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</si>
  <si>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</si>
  <si>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</si>
  <si>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</si>
  <si>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</si>
  <si>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</si>
  <si>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</si>
  <si>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</si>
  <si>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</si>
  <si>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</si>
  <si>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</si>
  <si>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</si>
  <si>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</si>
  <si>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</si>
  <si>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</si>
  <si>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</si>
  <si>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</si>
  <si>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</si>
  <si>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</si>
  <si>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</si>
  <si>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</si>
  <si>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</si>
  <si>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</si>
  <si>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</si>
  <si>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</si>
  <si>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</si>
  <si>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</si>
  <si>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</si>
  <si>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</si>
  <si>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</si>
  <si>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</si>
  <si>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</si>
  <si>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</si>
  <si>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</si>
  <si>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</si>
  <si>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</si>
  <si>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</si>
  <si>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</si>
  <si>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</si>
  <si>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</si>
  <si>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</si>
  <si>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</si>
  <si>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</si>
  <si>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</si>
  <si>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</si>
  <si>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</si>
  <si>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</si>
  <si>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</si>
  <si>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</si>
  <si>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</si>
  <si>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</si>
  <si>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</si>
  <si>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</si>
  <si>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</si>
  <si>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</si>
  <si>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</si>
  <si>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</si>
  <si>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</si>
  <si>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</si>
  <si>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</si>
  <si>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</si>
  <si>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</si>
  <si>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</si>
  <si>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</si>
  <si>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</si>
  <si>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</si>
  <si>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</si>
  <si>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</si>
  <si>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</si>
  <si>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</si>
  <si>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</si>
  <si>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</si>
  <si>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</si>
  <si>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</si>
  <si>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</si>
  <si>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</si>
  <si>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</si>
  <si>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</si>
  <si>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</si>
  <si>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</si>
  <si>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</si>
  <si>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</si>
  <si>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</si>
  <si>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</si>
  <si>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</si>
  <si>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</si>
  <si>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</si>
  <si>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</si>
  <si>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</si>
  <si>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</si>
  <si>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</si>
  <si>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</si>
  <si>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</si>
  <si>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</si>
  <si>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</si>
  <si>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</si>
  <si>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</si>
  <si>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</si>
  <si>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</si>
  <si>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</si>
  <si>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</si>
  <si>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</si>
  <si>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</si>
  <si>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</si>
  <si>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</si>
  <si>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</si>
  <si>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</si>
  <si>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</si>
  <si>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</si>
  <si>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</si>
  <si>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</si>
  <si>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</si>
  <si>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</si>
  <si>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</si>
  <si>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</si>
  <si>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</si>
  <si>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</si>
  <si>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</si>
  <si>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</si>
  <si>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</si>
  <si>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</si>
  <si>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</si>
  <si>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</si>
  <si>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</si>
  <si>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</si>
  <si>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</si>
  <si>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</si>
  <si>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</si>
  <si>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</si>
  <si>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</si>
  <si>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</si>
  <si>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</si>
  <si>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</si>
  <si>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</si>
  <si>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</si>
  <si>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</si>
  <si>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</si>
  <si>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</si>
  <si>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</si>
  <si>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</si>
  <si>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</si>
  <si>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</si>
  <si>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</si>
  <si>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</si>
  <si>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</si>
  <si>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</si>
  <si>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</si>
  <si>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</si>
  <si>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</si>
  <si>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</si>
  <si>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</si>
  <si>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</si>
  <si>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</si>
  <si>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</si>
  <si>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</si>
  <si>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</si>
  <si>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</si>
  <si>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</si>
  <si>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</si>
  <si>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</si>
  <si>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</si>
  <si>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</si>
  <si>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</si>
  <si>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</si>
  <si>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</si>
  <si>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</si>
  <si>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</si>
  <si>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</si>
  <si>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</si>
  <si>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</si>
  <si>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</si>
  <si>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</si>
  <si>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</si>
  <si>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</si>
  <si>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</si>
  <si>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</si>
  <si>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</si>
  <si>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</si>
  <si>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</si>
  <si>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</si>
  <si>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</si>
  <si>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</si>
  <si>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</si>
  <si>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</si>
  <si>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</si>
  <si>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</si>
  <si>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</si>
  <si>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</si>
  <si>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</si>
  <si>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</si>
  <si>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</si>
  <si>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</si>
  <si>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</si>
  <si>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</si>
  <si>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</si>
  <si>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</si>
  <si>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</si>
  <si>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</si>
  <si>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</si>
  <si>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</si>
  <si>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</si>
  <si>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</si>
  <si>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</si>
  <si>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</si>
  <si>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</si>
  <si>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</si>
  <si>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</si>
  <si>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</si>
  <si>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</si>
  <si>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</si>
  <si>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</si>
  <si>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</si>
  <si>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</si>
  <si>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</si>
  <si>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</si>
  <si>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</si>
  <si>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</si>
  <si>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</si>
  <si>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</si>
  <si>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</si>
  <si>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</si>
  <si>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</si>
  <si>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</si>
  <si>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</si>
  <si>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</si>
  <si>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</si>
  <si>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</si>
  <si>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</si>
  <si>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</si>
  <si>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</si>
  <si>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</si>
  <si>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</si>
  <si>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</si>
  <si>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</si>
  <si>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</si>
  <si>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</si>
  <si>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</si>
  <si>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</si>
  <si>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</si>
  <si>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</si>
  <si>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</si>
  <si>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</si>
  <si>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</si>
  <si>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</si>
  <si>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</si>
  <si>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</si>
  <si>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</si>
  <si>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</si>
  <si>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</si>
  <si>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</si>
  <si>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</si>
  <si>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</si>
  <si>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</si>
  <si>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</si>
  <si>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</si>
  <si>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</si>
  <si>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</si>
  <si>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</si>
  <si>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</si>
  <si>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</si>
  <si>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</si>
  <si>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</si>
  <si>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</si>
  <si>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</si>
  <si>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</si>
  <si>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</si>
  <si>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</si>
  <si>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</si>
  <si>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</si>
  <si>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</si>
  <si>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</si>
  <si>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</si>
  <si>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</si>
  <si>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</si>
  <si>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</si>
  <si>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</si>
  <si>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</si>
  <si>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</si>
  <si>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</si>
  <si>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</si>
  <si>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</si>
  <si>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</si>
  <si>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</si>
  <si>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</si>
  <si>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</si>
  <si>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</si>
  <si>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</si>
  <si>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</si>
  <si>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</si>
  <si>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</si>
  <si>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</si>
  <si>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</si>
  <si>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</si>
  <si>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</si>
  <si>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</si>
  <si>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</si>
  <si>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</si>
  <si>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</si>
  <si>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</si>
  <si>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</si>
  <si>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</si>
  <si>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</si>
  <si>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</si>
  <si>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</si>
  <si>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</si>
  <si>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</si>
  <si>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</si>
  <si>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</si>
  <si>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</si>
  <si>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</si>
  <si>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</si>
  <si>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</si>
  <si>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</si>
  <si>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</si>
  <si>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</si>
  <si>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</si>
  <si>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</si>
  <si>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</si>
  <si>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</si>
  <si>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</si>
  <si>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</si>
  <si>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</si>
  <si>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</si>
  <si>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</si>
  <si>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</si>
  <si>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</si>
  <si>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</si>
  <si>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</si>
  <si>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</si>
  <si>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</si>
  <si>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</si>
  <si>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</si>
  <si>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</si>
  <si>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</si>
  <si>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</si>
  <si>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</si>
  <si>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</si>
  <si>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</si>
  <si>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</si>
  <si>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</si>
  <si>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</si>
  <si>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</si>
  <si>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</si>
  <si>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</si>
  <si>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</si>
  <si>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</si>
  <si>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</si>
  <si>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</si>
  <si>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</si>
  <si>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</si>
  <si>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</si>
  <si>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</si>
  <si>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</si>
  <si>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</si>
  <si>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</si>
  <si>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</si>
  <si>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</si>
  <si>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</si>
  <si>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</si>
  <si>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</si>
  <si>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</si>
  <si>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</si>
  <si>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</si>
  <si>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</si>
  <si>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</si>
  <si>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</si>
  <si>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</si>
  <si>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</si>
  <si>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</si>
  <si>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</si>
  <si>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</si>
  <si>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</si>
  <si>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</si>
  <si>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</si>
  <si>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</si>
  <si>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</si>
  <si>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</si>
  <si>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</si>
  <si>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</si>
  <si>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</si>
  <si>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</si>
  <si>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</si>
  <si>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</si>
  <si>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</si>
  <si>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</si>
  <si>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</si>
  <si>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</si>
  <si>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</si>
  <si>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</si>
  <si>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</si>
  <si>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</si>
  <si>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</si>
  <si>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</si>
  <si>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</si>
  <si>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</si>
  <si>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</si>
  <si>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</si>
  <si>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</si>
  <si>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</si>
  <si>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</si>
  <si>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</si>
  <si>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</si>
  <si>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</si>
  <si>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</si>
  <si>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</si>
  <si>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</si>
  <si>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</si>
  <si>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</si>
  <si>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</si>
  <si>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</si>
  <si>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</si>
  <si>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</si>
  <si>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</si>
  <si>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</si>
  <si>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</si>
  <si>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</si>
  <si>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</si>
  <si>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</si>
  <si>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</si>
  <si>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</si>
  <si>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</si>
  <si>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</si>
  <si>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</si>
  <si>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</si>
  <si>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</si>
  <si>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</si>
  <si>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</si>
  <si>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</si>
  <si>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</si>
  <si>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</si>
  <si>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</si>
  <si>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</si>
  <si>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</si>
  <si>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</si>
  <si>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</si>
  <si>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</si>
  <si>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</si>
  <si>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</si>
  <si>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</si>
  <si>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</si>
  <si>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</si>
  <si>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</si>
  <si>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</si>
  <si>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</si>
  <si>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</si>
  <si>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</si>
  <si>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</si>
  <si>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</si>
  <si>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</si>
  <si>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</si>
  <si>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</si>
  <si>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</si>
  <si>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</si>
  <si>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</si>
  <si>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</si>
  <si>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</si>
  <si>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</si>
  <si>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</si>
  <si>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</si>
  <si>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</si>
  <si>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</si>
  <si>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</si>
  <si>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</si>
  <si>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</si>
  <si>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</si>
  <si>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</si>
  <si>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</si>
  <si>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</si>
  <si>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</si>
  <si>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</si>
  <si>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</si>
  <si>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</si>
  <si>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</si>
  <si>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</si>
  <si>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</si>
  <si>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</si>
  <si>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</si>
  <si>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</si>
  <si>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</si>
  <si>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</si>
  <si>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</si>
  <si>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</si>
  <si>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</si>
  <si>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</si>
  <si>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</si>
  <si>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</si>
  <si>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</si>
  <si>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</si>
  <si>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</si>
  <si>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</si>
  <si>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</si>
  <si>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</si>
  <si>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</si>
  <si>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</si>
  <si>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</si>
  <si>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</si>
  <si>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</si>
  <si>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</si>
  <si>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</si>
  <si>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</si>
  <si>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</si>
  <si>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</si>
  <si>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</si>
  <si>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</si>
  <si>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</si>
  <si>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</si>
  <si>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</si>
  <si>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</si>
  <si>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</si>
  <si>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</si>
  <si>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</si>
  <si>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</si>
  <si>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</si>
  <si>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</si>
  <si>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</si>
  <si>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</si>
  <si>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</si>
  <si>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</si>
  <si>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</si>
  <si>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</si>
  <si>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</si>
  <si>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</si>
  <si>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</si>
  <si>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</si>
  <si>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</si>
  <si>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</si>
  <si>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</si>
  <si>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</si>
  <si>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</si>
  <si>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</si>
  <si>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</si>
  <si>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</si>
  <si>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</si>
  <si>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</si>
  <si>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</si>
  <si>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</si>
  <si>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</si>
  <si>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</si>
  <si>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</si>
  <si>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</si>
  <si>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</si>
  <si>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</si>
  <si>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</si>
  <si>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</si>
  <si>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</si>
  <si>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</si>
  <si>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</si>
  <si>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</si>
  <si>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</si>
  <si>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</si>
  <si>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</si>
  <si>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</si>
  <si>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</si>
  <si>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</si>
  <si>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</si>
  <si>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</si>
  <si>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</si>
  <si>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</si>
  <si>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</si>
  <si>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</si>
  <si>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</si>
  <si>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</si>
  <si>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</si>
  <si>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</si>
  <si>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</si>
  <si>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</si>
  <si>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</si>
  <si>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</si>
  <si>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</si>
  <si>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</si>
  <si>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</si>
  <si>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</si>
  <si>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</si>
  <si>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</si>
  <si>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</si>
  <si>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</si>
  <si>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</si>
  <si>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</si>
  <si>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</si>
  <si>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</si>
  <si>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</si>
  <si>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</si>
  <si>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</si>
  <si>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</si>
  <si>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</si>
  <si>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</si>
  <si>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</si>
  <si>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</si>
  <si>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</si>
  <si>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</si>
  <si>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</si>
  <si>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</si>
  <si>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</si>
  <si>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</si>
  <si>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</si>
  <si>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</si>
  <si>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</si>
  <si>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</si>
  <si>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</si>
  <si>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</si>
  <si>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</si>
  <si>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</si>
  <si>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</si>
  <si>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</si>
  <si>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</si>
  <si>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</si>
  <si>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</si>
  <si>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</si>
  <si>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</si>
  <si>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</si>
  <si>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</si>
  <si>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</si>
  <si>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</si>
  <si>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</si>
  <si>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</si>
  <si>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</si>
  <si>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</si>
  <si>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</si>
  <si>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</si>
  <si>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</si>
  <si>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</si>
  <si>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</si>
  <si>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</si>
  <si>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</si>
  <si>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</si>
  <si>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</si>
  <si>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</si>
  <si>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</si>
  <si>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</si>
  <si>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</si>
  <si>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</si>
  <si>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</si>
  <si>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</si>
  <si>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</si>
  <si>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</si>
  <si>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</si>
  <si>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</si>
  <si>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</si>
  <si>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</si>
  <si>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</si>
  <si>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</si>
  <si>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</si>
  <si>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</si>
  <si>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</si>
  <si>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</si>
  <si>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</si>
  <si>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</si>
  <si>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</si>
  <si>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</si>
  <si>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</si>
  <si>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</si>
  <si>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</si>
  <si>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</si>
  <si>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</si>
  <si>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</si>
  <si>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</si>
  <si>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</si>
  <si>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</si>
  <si>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</si>
  <si>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</si>
  <si>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</si>
  <si>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</si>
  <si>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</si>
  <si>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</si>
  <si>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</si>
  <si>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</si>
  <si>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</si>
  <si>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</si>
  <si>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</si>
  <si>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</si>
  <si>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</si>
  <si>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</si>
  <si>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</si>
  <si>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</si>
  <si>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</si>
  <si>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</si>
  <si>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</si>
  <si>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</si>
  <si>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</si>
  <si>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</si>
  <si>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</si>
  <si>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</si>
  <si>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</si>
  <si>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</si>
  <si>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</si>
  <si>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</si>
  <si>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</si>
  <si>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</si>
  <si>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</si>
  <si>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</si>
  <si>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</si>
  <si>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</si>
  <si>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</si>
  <si>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</si>
  <si>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</si>
  <si>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</si>
  <si>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</si>
  <si>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</si>
  <si>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</si>
  <si>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</si>
  <si>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</si>
  <si>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</si>
  <si>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</si>
  <si>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</si>
  <si>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</si>
  <si>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</si>
  <si>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</si>
  <si>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</si>
  <si>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</si>
  <si>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</si>
  <si>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</si>
  <si>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</si>
  <si>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</si>
  <si>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</si>
  <si>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</si>
  <si>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</si>
  <si>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</si>
  <si>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</si>
  <si>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</si>
  <si>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</si>
  <si>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</si>
  <si>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</si>
  <si>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</si>
  <si>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</si>
  <si>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</si>
  <si>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</si>
  <si>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</si>
  <si>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</si>
  <si>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</si>
  <si>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</si>
  <si>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</si>
  <si>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</si>
  <si>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</si>
  <si>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</si>
  <si>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</si>
  <si>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</si>
  <si>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</si>
  <si>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</si>
  <si>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</si>
  <si>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</si>
  <si>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</si>
  <si>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</si>
  <si>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</si>
  <si>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</si>
  <si>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</si>
  <si>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</si>
  <si>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</si>
  <si>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</si>
  <si>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</si>
  <si>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</si>
  <si>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</si>
  <si>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</si>
  <si>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</si>
  <si>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</si>
  <si>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</si>
  <si>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</si>
  <si>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</si>
  <si>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</si>
  <si>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</si>
  <si>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</si>
  <si>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</si>
  <si>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</si>
  <si>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</si>
  <si>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</si>
  <si>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</si>
  <si>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</si>
  <si>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</si>
  <si>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</si>
  <si>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</si>
  <si>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</si>
  <si>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</si>
  <si>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</si>
  <si>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</si>
  <si>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</si>
  <si>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</si>
  <si>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</si>
  <si>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</si>
  <si>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</si>
  <si>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</si>
  <si>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</si>
  <si>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</si>
  <si>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</si>
  <si>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</si>
  <si>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</si>
  <si>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</si>
  <si>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</si>
  <si>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</si>
  <si>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</si>
  <si>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</si>
  <si>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</si>
  <si>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</si>
  <si>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</si>
  <si>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</si>
  <si>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</si>
  <si>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</si>
  <si>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</si>
  <si>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</si>
  <si>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</si>
  <si>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</si>
  <si>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</si>
  <si>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</si>
  <si>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</si>
  <si>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</si>
  <si>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</si>
  <si>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</si>
  <si>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</si>
  <si>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</si>
  <si>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</si>
  <si>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</si>
  <si>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</si>
  <si>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</si>
  <si>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</si>
  <si>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</si>
  <si>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</si>
  <si>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</si>
  <si>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</si>
  <si>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</si>
  <si>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</si>
  <si>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</si>
  <si>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</si>
  <si>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</si>
  <si>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</si>
  <si>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</si>
  <si>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</si>
  <si>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</si>
  <si>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</si>
  <si>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</si>
  <si>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</si>
  <si>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</si>
  <si>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</si>
  <si>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</si>
  <si>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</si>
  <si>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</si>
  <si>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</si>
  <si>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</si>
  <si>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</si>
  <si>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</si>
  <si>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</si>
  <si>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</si>
  <si>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</si>
  <si>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</si>
  <si>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</si>
  <si>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</si>
  <si>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</si>
  <si>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</si>
  <si>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</si>
  <si>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</si>
  <si>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</si>
  <si>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</si>
  <si>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</si>
  <si>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</si>
  <si>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</si>
  <si>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</si>
  <si>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</si>
  <si>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</si>
  <si>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</si>
  <si>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</si>
  <si>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</si>
  <si>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</si>
  <si>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</si>
  <si>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</si>
  <si>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</si>
  <si>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</si>
  <si>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</si>
  <si>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</si>
  <si>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</si>
  <si>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</si>
  <si>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</si>
  <si>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</si>
  <si>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</si>
  <si>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</si>
  <si>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</si>
  <si>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</si>
  <si>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</si>
  <si>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</si>
  <si>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</si>
  <si>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</si>
  <si>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</si>
  <si>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</si>
  <si>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</si>
  <si>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</si>
  <si>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</si>
  <si>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</si>
  <si>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</si>
  <si>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</si>
  <si>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</si>
  <si>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</si>
  <si>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</si>
  <si>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</si>
  <si>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</si>
  <si>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</si>
  <si>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</si>
  <si>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</si>
  <si>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</si>
  <si>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</si>
  <si>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</si>
  <si>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</si>
  <si>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</si>
  <si>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</si>
  <si>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</si>
  <si>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</si>
  <si>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</si>
  <si>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</si>
  <si>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</si>
  <si>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</si>
  <si>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</si>
  <si>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</si>
  <si>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</si>
  <si>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</si>
  <si>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</si>
  <si>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</si>
  <si>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</si>
  <si>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</si>
  <si>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</si>
  <si>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</si>
  <si>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</si>
  <si>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</si>
  <si>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</si>
  <si>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</si>
  <si>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</si>
  <si>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</si>
  <si>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</si>
  <si>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</si>
  <si>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</si>
  <si>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</si>
  <si>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</si>
  <si>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</si>
  <si>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</si>
  <si>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</si>
  <si>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</si>
  <si>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</si>
  <si>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</si>
  <si>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</si>
  <si>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</si>
  <si>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</si>
  <si>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</si>
  <si>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</si>
  <si>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</si>
  <si>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</si>
  <si>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</si>
  <si>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</si>
  <si>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</si>
  <si>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</si>
  <si>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</si>
  <si>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</si>
  <si>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</si>
  <si>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</si>
  <si>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</si>
  <si>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</si>
  <si>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</si>
  <si>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</si>
  <si>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</si>
  <si>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</si>
  <si>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</si>
  <si>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</si>
  <si>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</si>
  <si>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</si>
  <si>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</si>
  <si>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</si>
  <si>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</si>
  <si>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</si>
  <si>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</si>
  <si>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</si>
  <si>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</si>
  <si>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</si>
  <si>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</si>
  <si>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</si>
  <si>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</si>
  <si>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</si>
  <si>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</si>
  <si>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</si>
  <si>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</si>
  <si>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</si>
  <si>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</si>
  <si>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</si>
  <si>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</si>
  <si>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</si>
  <si>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</si>
  <si>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</si>
  <si>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</si>
  <si>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</si>
  <si>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</si>
  <si>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</si>
  <si>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</si>
  <si>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</si>
  <si>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</si>
  <si>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</si>
  <si>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</si>
  <si>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</si>
  <si>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</si>
  <si>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</si>
  <si>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</si>
  <si>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</si>
  <si>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</si>
  <si>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</si>
  <si>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</si>
  <si>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</si>
  <si>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</si>
  <si>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</si>
  <si>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</si>
  <si>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</si>
  <si>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</si>
  <si>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</si>
  <si>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</si>
  <si>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</si>
  <si>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</si>
  <si>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</si>
  <si>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</si>
  <si>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</si>
  <si>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</si>
  <si>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</si>
  <si>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</si>
  <si>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</si>
  <si>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</si>
  <si>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</si>
  <si>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</si>
  <si>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</si>
  <si>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</si>
  <si>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</si>
  <si>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</si>
  <si>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</si>
  <si>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</si>
  <si>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</si>
  <si>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</si>
  <si>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</si>
  <si>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</si>
  <si>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</si>
  <si>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</si>
  <si>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</si>
  <si>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</si>
  <si>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</si>
  <si>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</si>
  <si>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</si>
  <si>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</si>
  <si>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</si>
  <si>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</si>
  <si>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</si>
  <si>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</si>
  <si>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</si>
  <si>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</si>
  <si>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</si>
  <si>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</si>
  <si>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</si>
  <si>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</si>
  <si>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</si>
  <si>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</si>
  <si>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</si>
  <si>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</si>
  <si>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</si>
  <si>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</si>
  <si>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</si>
  <si>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</si>
  <si>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</si>
  <si>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</si>
  <si>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</si>
  <si>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</si>
  <si>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</si>
  <si>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</si>
  <si>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</si>
  <si>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</si>
  <si>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</si>
  <si>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</si>
  <si>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</si>
  <si>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</si>
  <si>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</si>
  <si>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</si>
  <si>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</si>
  <si>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</si>
  <si>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</si>
  <si>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</si>
  <si>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</si>
  <si>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</si>
  <si>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</si>
  <si>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</si>
  <si>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</si>
  <si>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</si>
  <si>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</si>
  <si>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</si>
  <si>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</si>
  <si>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</si>
  <si>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</si>
  <si>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</si>
  <si>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</si>
  <si>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</si>
  <si>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</si>
  <si>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</si>
  <si>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</si>
  <si>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</si>
  <si>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</si>
  <si>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</si>
  <si>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</si>
  <si>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</si>
  <si>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</si>
  <si>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</si>
  <si>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</si>
  <si>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</si>
  <si>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</si>
  <si>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</si>
  <si>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</si>
  <si>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</si>
  <si>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</si>
  <si>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</si>
  <si>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</si>
  <si>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</si>
  <si>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</si>
  <si>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</si>
  <si>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</si>
  <si>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</si>
  <si>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</si>
  <si>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</si>
  <si>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</si>
  <si>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</si>
  <si>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</si>
  <si>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</si>
  <si>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</si>
  <si>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</si>
  <si>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</si>
  <si>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</si>
  <si>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</si>
  <si>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</si>
  <si>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</si>
  <si>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</si>
  <si>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</si>
  <si>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</si>
  <si>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</si>
  <si>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</si>
  <si>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</si>
  <si>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</si>
  <si>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</si>
  <si>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</si>
  <si>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</si>
  <si>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</si>
  <si>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</si>
  <si>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</si>
  <si>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</si>
  <si>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</si>
  <si>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</si>
  <si>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</si>
  <si>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</si>
  <si>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</si>
  <si>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</si>
  <si>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</si>
  <si>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</si>
  <si>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</si>
  <si>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</si>
  <si>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</si>
  <si>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</si>
  <si>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</si>
  <si>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</si>
  <si>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</si>
  <si>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</si>
  <si>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</si>
  <si>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</si>
  <si>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</si>
  <si>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</si>
  <si>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</si>
  <si>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</si>
  <si>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</si>
  <si>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</si>
  <si>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</si>
  <si>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</si>
  <si>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</si>
  <si>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</si>
  <si>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</si>
  <si>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</si>
  <si>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</si>
  <si>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</si>
  <si>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</si>
  <si>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</si>
  <si>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</si>
  <si>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</si>
  <si>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</si>
  <si>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</si>
  <si>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</si>
  <si>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</si>
  <si>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</si>
  <si>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</si>
  <si>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</si>
  <si>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</si>
  <si>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</si>
  <si>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</si>
  <si>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</si>
  <si>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</si>
  <si>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</si>
  <si>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</si>
  <si>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</si>
  <si>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</si>
  <si>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</si>
  <si>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</si>
  <si>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</si>
  <si>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</si>
  <si>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</si>
  <si>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</si>
  <si>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</si>
  <si>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</si>
  <si>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</si>
  <si>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</si>
  <si>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</si>
  <si>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</si>
  <si>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</si>
  <si>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</si>
  <si>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</si>
  <si>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</si>
  <si>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</si>
  <si>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</si>
  <si>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</si>
  <si>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</si>
  <si>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</si>
  <si>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</si>
  <si>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</si>
  <si>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</si>
  <si>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</si>
  <si>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</si>
  <si>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</si>
  <si>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</si>
  <si>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</si>
  <si>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</si>
  <si>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</si>
  <si>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</si>
  <si>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</si>
  <si>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</si>
  <si>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</si>
  <si>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</si>
  <si>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</si>
  <si>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</si>
  <si>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</si>
  <si>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</si>
  <si>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</si>
  <si>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</si>
  <si>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</si>
  <si>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</si>
  <si>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</si>
  <si>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</si>
  <si>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</si>
  <si>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</si>
  <si>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</si>
  <si>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</si>
  <si>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</si>
  <si>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</si>
  <si>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</si>
  <si>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</si>
  <si>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</si>
  <si>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</si>
  <si>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</si>
  <si>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</si>
  <si>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</si>
  <si>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</si>
  <si>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</si>
  <si>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</si>
  <si>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</si>
  <si>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</si>
  <si>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</si>
  <si>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</si>
  <si>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</si>
  <si>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</si>
  <si>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</si>
  <si>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</si>
  <si>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</si>
  <si>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</si>
  <si>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</si>
  <si>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</si>
  <si>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</si>
  <si>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</si>
  <si>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</si>
  <si>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</si>
  <si>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</si>
  <si>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</si>
  <si>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</si>
  <si>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</si>
  <si>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</si>
  <si>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</si>
  <si>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</si>
  <si>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</si>
  <si>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</si>
  <si>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</si>
  <si>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</si>
  <si>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</si>
  <si>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</si>
  <si>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</si>
  <si>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</si>
  <si>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</si>
  <si>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</si>
  <si>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</si>
  <si>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</si>
  <si>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</si>
  <si>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</si>
  <si>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</si>
  <si>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</si>
  <si>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</si>
  <si>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</si>
  <si>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</si>
  <si>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</si>
  <si>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</si>
  <si>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</si>
  <si>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</si>
  <si>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</si>
  <si>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</si>
  <si>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</si>
  <si>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</si>
  <si>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</si>
  <si>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</si>
  <si>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</si>
  <si>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</si>
  <si>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</si>
  <si>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</si>
  <si>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</si>
  <si>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</si>
  <si>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</si>
  <si>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</si>
  <si>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</si>
  <si>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</si>
  <si>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</si>
  <si>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</si>
  <si>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</si>
  <si>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</si>
  <si>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</si>
  <si>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</si>
  <si>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</si>
  <si>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</si>
  <si>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</si>
  <si>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</si>
  <si>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</si>
  <si>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</si>
  <si>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</si>
  <si>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</si>
  <si>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</si>
  <si>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</si>
  <si>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</si>
  <si>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</si>
  <si>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</si>
  <si>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</si>
  <si>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</si>
  <si>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</si>
  <si>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</si>
  <si>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</si>
  <si>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</si>
  <si>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</si>
  <si>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</si>
  <si>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</si>
  <si>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</si>
  <si>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</si>
  <si>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</si>
  <si>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</si>
  <si>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</si>
  <si>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</si>
  <si>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</si>
  <si>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</si>
  <si>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</si>
  <si>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</si>
  <si>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</si>
  <si>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</si>
  <si>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</si>
  <si>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</si>
  <si>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</si>
  <si>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</si>
  <si>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</si>
  <si>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</si>
  <si>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</si>
  <si>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</si>
  <si>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</si>
  <si>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</si>
  <si>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</si>
  <si>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</si>
  <si>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</si>
  <si>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</si>
  <si>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</si>
  <si>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</si>
  <si>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</si>
  <si>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</si>
  <si>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</si>
  <si>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</si>
  <si>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</si>
  <si>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</si>
  <si>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</si>
  <si>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</si>
  <si>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</si>
  <si>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</si>
  <si>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</si>
  <si>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</si>
  <si>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</si>
  <si>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</si>
  <si>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</si>
  <si>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</si>
  <si>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</si>
  <si>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</si>
  <si>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</si>
  <si>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</si>
  <si>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</si>
  <si>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</si>
  <si>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</si>
  <si>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</si>
  <si>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</si>
  <si>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</si>
  <si>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</si>
  <si>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</si>
  <si>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</si>
  <si>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</si>
  <si>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</si>
  <si>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</si>
  <si>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</si>
  <si>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</si>
  <si>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</si>
  <si>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</si>
  <si>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</si>
  <si>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</si>
  <si>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</si>
  <si>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</si>
  <si>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</si>
  <si>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</si>
  <si>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</si>
  <si>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</si>
  <si>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</si>
  <si>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</si>
  <si>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</si>
  <si>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</si>
  <si>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</si>
  <si>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</si>
  <si>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</si>
  <si>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</si>
  <si>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</si>
  <si>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</si>
  <si>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</si>
  <si>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</si>
  <si>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</si>
  <si>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</si>
  <si>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</si>
  <si>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</si>
  <si>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</si>
  <si>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</si>
  <si>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</si>
  <si>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</si>
  <si>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</si>
  <si>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</si>
  <si>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</si>
  <si>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</si>
  <si>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</si>
  <si>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</si>
  <si>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</si>
  <si>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</si>
  <si>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</si>
  <si>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</si>
  <si>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</si>
  <si>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</si>
  <si>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</si>
  <si>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</si>
  <si>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</si>
  <si>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</si>
  <si>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</si>
  <si>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</si>
  <si>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</si>
  <si>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</si>
  <si>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</si>
  <si>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</si>
  <si>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</si>
  <si>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</si>
  <si>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</si>
  <si>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</si>
  <si>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</si>
  <si>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</si>
  <si>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</si>
  <si>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</si>
  <si>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</si>
  <si>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</si>
  <si>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</si>
  <si>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</si>
  <si>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</si>
  <si>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</si>
  <si>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</si>
  <si>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</si>
  <si>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</si>
  <si>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</si>
  <si>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</si>
  <si>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</si>
  <si>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</si>
  <si>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</si>
  <si>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</si>
  <si>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</si>
  <si>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</si>
  <si>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</si>
  <si>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</si>
  <si>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</si>
  <si>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</si>
  <si>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</si>
  <si>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</si>
  <si>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</si>
  <si>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</si>
  <si>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</si>
  <si>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</si>
  <si>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</si>
  <si>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</si>
  <si>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</si>
  <si>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</si>
  <si>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</si>
  <si>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</si>
  <si>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</si>
  <si>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</si>
  <si>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</si>
  <si>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</si>
  <si>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</si>
  <si>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</si>
  <si>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</si>
  <si>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</si>
  <si>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</si>
  <si>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</si>
  <si>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</si>
  <si>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</si>
  <si>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</si>
  <si>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</si>
  <si>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</si>
  <si>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</si>
  <si>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</si>
  <si>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</si>
  <si>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</si>
  <si>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</si>
  <si>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</si>
  <si>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</si>
  <si>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</si>
  <si>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</si>
  <si>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</si>
  <si>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</si>
  <si>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</si>
  <si>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</si>
  <si>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</si>
  <si>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</si>
  <si>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</si>
  <si>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</si>
  <si>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</si>
  <si>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</si>
  <si>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</si>
  <si>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</si>
  <si>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</si>
  <si>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</si>
  <si>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</si>
  <si>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</si>
  <si>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</si>
  <si>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</si>
  <si>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</si>
  <si>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</si>
  <si>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</si>
  <si>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</si>
  <si>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</si>
  <si>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</si>
  <si>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</si>
  <si>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</si>
  <si>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</si>
  <si>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</si>
  <si>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</si>
  <si>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</si>
  <si>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</si>
  <si>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</si>
  <si>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</si>
  <si>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</si>
  <si>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</si>
  <si>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</si>
  <si>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</si>
  <si>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</si>
  <si>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</si>
  <si>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</si>
  <si>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</si>
  <si>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</si>
  <si>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</si>
  <si>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</si>
  <si>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</si>
  <si>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</si>
  <si>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</si>
  <si>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</si>
  <si>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</si>
  <si>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</si>
  <si>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</si>
  <si>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</si>
  <si>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</si>
  <si>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</si>
  <si>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</si>
  <si>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</si>
  <si>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</si>
  <si>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</si>
  <si>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</si>
  <si>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</si>
  <si>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</si>
  <si>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</si>
  <si>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</si>
  <si>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</si>
  <si>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</si>
  <si>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</si>
  <si>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</si>
  <si>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</si>
  <si>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</si>
  <si>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</si>
  <si>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</si>
  <si>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</si>
  <si>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</si>
  <si>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</si>
  <si>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</si>
  <si>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</si>
  <si>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</si>
  <si>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</si>
  <si>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</si>
  <si>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</si>
  <si>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</si>
  <si>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</si>
  <si>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</si>
  <si>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</si>
  <si>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</si>
  <si>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</si>
  <si>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</si>
  <si>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</si>
  <si>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</si>
  <si>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</si>
  <si>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</si>
  <si>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</si>
  <si>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</si>
  <si>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</si>
  <si>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</si>
  <si>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</si>
  <si>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</si>
  <si>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</si>
  <si>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</si>
  <si>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</si>
  <si>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</si>
  <si>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</si>
  <si>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</si>
  <si>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</si>
  <si>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</si>
  <si>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</si>
  <si>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</si>
  <si>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</si>
  <si>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</si>
  <si>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</si>
  <si>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</si>
  <si>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</si>
  <si>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</si>
  <si>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</si>
  <si>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</si>
  <si>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</si>
  <si>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</si>
  <si>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</si>
  <si>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</si>
  <si>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</si>
  <si>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</si>
  <si>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</si>
  <si>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</si>
  <si>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</si>
  <si>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</si>
  <si>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</si>
  <si>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</si>
  <si>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</si>
  <si>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</si>
  <si>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</si>
  <si>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</si>
  <si>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</si>
  <si>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</si>
  <si>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</si>
  <si>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</si>
  <si>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</si>
  <si>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</si>
  <si>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</si>
  <si>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</si>
  <si>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</si>
  <si>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</si>
  <si>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</si>
  <si>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</si>
  <si>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</si>
  <si>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</si>
  <si>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</si>
  <si>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</si>
  <si>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</si>
  <si>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</si>
  <si>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</si>
  <si>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</si>
  <si>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</si>
  <si>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</si>
  <si>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</si>
  <si>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</si>
  <si>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</si>
  <si>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</si>
  <si>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</si>
  <si>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</si>
  <si>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</si>
  <si>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</si>
  <si>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</si>
  <si>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</si>
  <si>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</si>
  <si>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</si>
  <si>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</si>
  <si>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</si>
  <si>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</si>
  <si>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</si>
  <si>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</si>
  <si>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</si>
  <si>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</si>
  <si>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</si>
  <si>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</si>
  <si>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</si>
  <si>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</si>
  <si>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</si>
  <si>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</si>
  <si>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</si>
  <si>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</si>
  <si>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</si>
  <si>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</si>
  <si>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</si>
  <si>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</si>
  <si>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</si>
  <si>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</si>
  <si>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</si>
  <si>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</si>
  <si>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</si>
  <si>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</si>
  <si>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</si>
  <si>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</si>
  <si>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</si>
  <si>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</si>
  <si>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</si>
  <si>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</si>
  <si>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</si>
  <si>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</si>
  <si>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</si>
  <si>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</si>
  <si>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</si>
  <si>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</si>
  <si>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</si>
  <si>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</si>
  <si>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</si>
  <si>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</si>
  <si>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</si>
  <si>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</si>
  <si>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</si>
  <si>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</si>
  <si>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</si>
  <si>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</si>
  <si>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</si>
  <si>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</si>
  <si>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</si>
  <si>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</si>
  <si>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</si>
  <si>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</si>
  <si>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</si>
  <si>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</si>
  <si>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</si>
  <si>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</si>
  <si>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</si>
  <si>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</si>
  <si>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</si>
  <si>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</si>
  <si>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</si>
  <si>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</si>
  <si>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</si>
  <si>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</si>
  <si>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</si>
  <si>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</si>
  <si>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</si>
  <si>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</si>
  <si>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</si>
  <si>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</si>
  <si>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</si>
  <si>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</si>
  <si>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</si>
  <si>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</si>
  <si>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</si>
  <si>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</si>
  <si>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</si>
  <si>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</si>
  <si>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</si>
  <si>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</si>
  <si>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</si>
  <si>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</si>
  <si>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</si>
  <si>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</si>
  <si>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</si>
  <si>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</si>
  <si>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</si>
  <si>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</si>
  <si>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</si>
  <si>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</si>
  <si>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</si>
  <si>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</si>
  <si>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</si>
  <si>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</si>
  <si>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</si>
  <si>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</si>
  <si>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</si>
  <si>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</si>
  <si>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</si>
  <si>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</si>
  <si>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</si>
  <si>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</si>
  <si>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</si>
  <si>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</si>
  <si>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</si>
  <si>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</si>
  <si>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</si>
  <si>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</si>
  <si>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</si>
  <si>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</si>
  <si>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</si>
  <si>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</si>
  <si>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</si>
  <si>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</si>
  <si>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</si>
  <si>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</si>
  <si>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</si>
  <si>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</si>
  <si>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</si>
  <si>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</si>
  <si>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</si>
  <si>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</si>
  <si>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</si>
  <si>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</si>
  <si>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</si>
  <si>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</si>
  <si>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</si>
  <si>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</si>
  <si>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</si>
  <si>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</si>
  <si>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</si>
  <si>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</si>
  <si>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</si>
  <si>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</si>
  <si>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</si>
  <si>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</si>
  <si>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</si>
  <si>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</si>
  <si>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</si>
  <si>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</si>
  <si>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</si>
  <si>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</si>
  <si>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</si>
  <si>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</si>
  <si>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</si>
  <si>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</si>
  <si>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</si>
  <si>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</si>
  <si>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</si>
  <si>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</si>
  <si>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</si>
  <si>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</si>
  <si>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</si>
  <si>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</si>
  <si>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</si>
  <si>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</si>
  <si>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</si>
  <si>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</si>
  <si>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</si>
  <si>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</si>
  <si>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</si>
  <si>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</si>
  <si>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</si>
  <si>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</si>
  <si>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</si>
  <si>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</si>
  <si>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</si>
  <si>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</si>
  <si>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</si>
  <si>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</si>
  <si>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</si>
  <si>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</si>
  <si>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</si>
  <si>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</si>
  <si>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</si>
  <si>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</si>
  <si>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</si>
  <si>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</si>
  <si>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</si>
  <si>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</si>
  <si>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</si>
  <si>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</si>
  <si>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</si>
  <si>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</si>
  <si>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</si>
  <si>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</si>
  <si>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</si>
  <si>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</si>
  <si>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</si>
  <si>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</si>
  <si>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</si>
  <si>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</si>
  <si>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</si>
  <si>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</si>
  <si>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</si>
  <si>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</si>
  <si>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</si>
  <si>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</si>
  <si>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</si>
  <si>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</si>
  <si>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</si>
  <si>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</si>
  <si>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</si>
  <si>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</si>
  <si>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</si>
  <si>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</si>
  <si>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</si>
  <si>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</si>
  <si>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</si>
  <si>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</si>
  <si>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</si>
  <si>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</si>
  <si>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</si>
  <si>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</si>
  <si>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</si>
  <si>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</si>
  <si>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</si>
  <si>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</si>
  <si>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</si>
  <si>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</si>
  <si>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</si>
  <si>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</si>
  <si>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</si>
  <si>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</si>
  <si>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</si>
  <si>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</si>
  <si>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</si>
  <si>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</si>
  <si>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</si>
  <si>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</si>
  <si>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</si>
  <si>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</si>
  <si>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</si>
  <si>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</si>
  <si>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</si>
  <si>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</si>
  <si>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</si>
  <si>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</si>
  <si>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</si>
  <si>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</si>
  <si>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</si>
  <si>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</si>
  <si>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</si>
  <si>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</si>
  <si>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</si>
  <si>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</si>
  <si>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</si>
  <si>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</si>
  <si>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</si>
  <si>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</si>
  <si>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</si>
  <si>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</si>
  <si>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</si>
  <si>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</si>
  <si>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</si>
  <si>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</si>
  <si>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</si>
  <si>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</si>
  <si>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</si>
  <si>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</si>
  <si>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</si>
  <si>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</si>
  <si>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</si>
  <si>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</si>
  <si>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</si>
  <si>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</si>
  <si>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</si>
  <si>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</si>
  <si>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</si>
  <si>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</si>
  <si>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</si>
  <si>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</si>
  <si>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</si>
  <si>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</si>
  <si>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</si>
  <si>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</si>
  <si>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</si>
  <si>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</si>
  <si>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</si>
  <si>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</si>
  <si>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</si>
  <si>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</si>
  <si>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</si>
  <si>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</si>
  <si>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</si>
  <si>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</si>
  <si>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</si>
  <si>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</si>
  <si>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</si>
  <si>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</si>
  <si>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</si>
  <si>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</si>
  <si>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</si>
  <si>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</si>
  <si>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</si>
  <si>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</si>
  <si>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</si>
  <si>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</si>
  <si>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</si>
  <si>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</si>
  <si>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</si>
  <si>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</si>
  <si>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</si>
  <si>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</si>
  <si>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</si>
  <si>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</si>
  <si>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</si>
  <si>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</si>
  <si>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</si>
  <si>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</si>
  <si>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</si>
  <si>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</si>
  <si>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</si>
  <si>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</si>
  <si>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</si>
  <si>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</si>
  <si>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</si>
  <si>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</si>
  <si>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</si>
  <si>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</si>
  <si>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</si>
  <si>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</si>
  <si>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</si>
  <si>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</si>
  <si>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</si>
  <si>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</si>
  <si>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</si>
  <si>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</si>
  <si>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</si>
  <si>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</si>
  <si>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</si>
  <si>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</si>
  <si>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</si>
  <si>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</si>
  <si>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</si>
  <si>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</si>
  <si>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</si>
  <si>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</si>
  <si>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</si>
  <si>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</si>
  <si>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</si>
  <si>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</si>
  <si>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</si>
  <si>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</si>
  <si>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</si>
  <si>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</si>
  <si>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</si>
  <si>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</si>
  <si>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</si>
  <si>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</si>
  <si>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</si>
  <si>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</si>
  <si>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</si>
  <si>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</si>
  <si>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</si>
  <si>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</si>
  <si>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</si>
  <si>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</si>
  <si>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</si>
  <si>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</si>
  <si>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</si>
  <si>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</si>
  <si>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</si>
  <si>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</si>
  <si>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</si>
  <si>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</si>
  <si>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</si>
  <si>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</si>
  <si>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</si>
  <si>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</si>
  <si>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</si>
  <si>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</si>
  <si>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</si>
  <si>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</si>
  <si>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</si>
  <si>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</si>
  <si>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</si>
  <si>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</si>
  <si>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</si>
  <si>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</si>
  <si>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</si>
  <si>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</si>
  <si>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</si>
  <si>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</si>
  <si>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</si>
  <si>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</si>
  <si>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</si>
  <si>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</si>
  <si>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</si>
  <si>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</si>
  <si>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</si>
  <si>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</si>
  <si>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</si>
  <si>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</si>
  <si>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</si>
  <si>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</si>
  <si>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</si>
  <si>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</si>
  <si>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</si>
  <si>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</si>
  <si>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</si>
  <si>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</si>
  <si>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</si>
  <si>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</si>
  <si>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</si>
  <si>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</si>
  <si>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</si>
  <si>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</si>
  <si>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</si>
  <si>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</si>
  <si>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</si>
  <si>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</si>
  <si>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</si>
  <si>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</si>
  <si>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</si>
  <si>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</si>
  <si>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</si>
  <si>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</si>
  <si>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</si>
  <si>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</si>
  <si>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</si>
  <si>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</si>
  <si>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</si>
  <si>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</si>
  <si>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</si>
  <si>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</si>
  <si>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</si>
  <si>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</si>
  <si>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</si>
  <si>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</si>
  <si>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</si>
  <si>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</si>
  <si>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</si>
  <si>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</si>
  <si>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</si>
  <si>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</si>
  <si>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</si>
  <si>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</si>
  <si>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</si>
  <si>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</si>
  <si>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</si>
  <si>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</si>
  <si>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</si>
  <si>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</si>
  <si>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</si>
  <si>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</si>
  <si>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</si>
  <si>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</si>
  <si>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</si>
  <si>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</si>
  <si>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</si>
  <si>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</si>
  <si>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</si>
  <si>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</si>
  <si>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</si>
  <si>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</si>
  <si>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</si>
  <si>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</si>
  <si>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</si>
  <si>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</si>
  <si>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</si>
  <si>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</si>
  <si>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</si>
  <si>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</si>
  <si>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</si>
  <si>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</si>
  <si>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</si>
  <si>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</si>
  <si>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</si>
  <si>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</si>
  <si>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</si>
  <si>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</si>
  <si>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</si>
  <si>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</si>
  <si>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</si>
  <si>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</si>
  <si>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</si>
  <si>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</si>
  <si>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</si>
  <si>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</si>
  <si>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</si>
  <si>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</si>
  <si>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</si>
  <si>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</si>
  <si>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</si>
  <si>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</si>
  <si>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</si>
  <si>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</si>
  <si>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</si>
  <si>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</si>
  <si>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</si>
  <si>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</si>
  <si>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</si>
  <si>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</si>
  <si>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</si>
  <si>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</si>
  <si>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</si>
  <si>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</si>
  <si>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</si>
  <si>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</si>
  <si>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</si>
  <si>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</si>
  <si>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</si>
  <si>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</si>
  <si>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</si>
  <si>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</si>
  <si>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</si>
  <si>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</si>
  <si>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</si>
  <si>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</si>
  <si>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</si>
  <si>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</si>
  <si>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</si>
  <si>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</si>
  <si>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</si>
  <si>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</si>
  <si>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</si>
  <si>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</si>
  <si>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</si>
  <si>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</si>
  <si>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</si>
  <si>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</si>
  <si>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</si>
  <si>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</si>
  <si>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</si>
  <si>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</si>
  <si>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</si>
  <si>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</si>
  <si>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</si>
  <si>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</si>
  <si>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</si>
  <si>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</si>
  <si>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</si>
  <si>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</si>
  <si>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</si>
  <si>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</si>
  <si>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</si>
  <si>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</si>
  <si>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</si>
  <si>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</si>
  <si>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</si>
  <si>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</si>
  <si>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</si>
  <si>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</si>
  <si>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</si>
  <si>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</si>
  <si>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</si>
  <si>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</si>
  <si>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</si>
  <si>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</si>
  <si>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</si>
  <si>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</si>
  <si>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</si>
  <si>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</si>
  <si>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</si>
  <si>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</si>
  <si>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</si>
  <si>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</si>
  <si>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</si>
  <si>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</si>
  <si>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</si>
  <si>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</si>
  <si>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</si>
  <si>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</si>
  <si>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</si>
  <si>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</si>
  <si>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</si>
  <si>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</si>
  <si>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</si>
  <si>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</si>
  <si>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</si>
  <si>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</si>
  <si>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</si>
  <si>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</si>
  <si>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</si>
  <si>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</si>
  <si>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</si>
  <si>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</si>
  <si>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</si>
  <si>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</si>
  <si>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</si>
  <si>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</si>
  <si>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</si>
  <si>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</si>
  <si>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</si>
  <si>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</si>
  <si>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</si>
  <si>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</si>
  <si>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</si>
  <si>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</si>
  <si>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</si>
  <si>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</si>
  <si>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</si>
  <si>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</si>
  <si>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</si>
  <si>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</si>
  <si>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</si>
  <si>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</si>
  <si>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</si>
  <si>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</si>
  <si>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</si>
  <si>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</si>
  <si>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</si>
  <si>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</si>
  <si>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</si>
  <si>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</si>
  <si>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</si>
  <si>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</si>
  <si>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</si>
  <si>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</si>
  <si>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</si>
  <si>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</si>
  <si>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</si>
  <si>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</si>
  <si>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</si>
  <si>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</si>
  <si>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</si>
  <si>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</si>
  <si>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</si>
  <si>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</si>
  <si>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</si>
  <si>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</si>
  <si>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</si>
  <si>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</si>
  <si>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</si>
  <si>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</si>
  <si>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</si>
  <si>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</si>
  <si>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</si>
  <si>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</si>
  <si>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</si>
  <si>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</si>
  <si>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</si>
  <si>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</si>
  <si>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</si>
  <si>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</si>
  <si>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</si>
  <si>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</si>
  <si>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</si>
  <si>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</si>
  <si>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</si>
  <si>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</si>
  <si>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</si>
  <si>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</si>
  <si>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</si>
  <si>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</si>
  <si>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</si>
  <si>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</si>
  <si>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</si>
  <si>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</si>
  <si>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</si>
  <si>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</si>
  <si>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</si>
  <si>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</si>
  <si>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</si>
  <si>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</si>
  <si>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</si>
  <si>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</si>
  <si>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</si>
  <si>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</si>
  <si>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</si>
  <si>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</si>
  <si>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</si>
  <si>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</si>
  <si>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</si>
  <si>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</si>
  <si>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</si>
  <si>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</si>
  <si>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</si>
  <si>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</si>
  <si>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</si>
  <si>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</si>
  <si>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</si>
  <si>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</si>
  <si>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</si>
  <si>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</si>
  <si>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</si>
  <si>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</si>
  <si>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</si>
  <si>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</si>
  <si>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</si>
  <si>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</si>
  <si>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</si>
  <si>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</si>
  <si>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</si>
  <si>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</si>
  <si>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</si>
  <si>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</si>
  <si>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</si>
  <si>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</si>
  <si>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</si>
  <si>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</si>
  <si>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</si>
  <si>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</si>
  <si>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</si>
  <si>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</si>
  <si>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</si>
  <si>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</si>
  <si>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</si>
  <si>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</si>
  <si>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</si>
  <si>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</si>
  <si>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</si>
  <si>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</si>
  <si>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</si>
  <si>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</si>
  <si>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</si>
  <si>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</si>
  <si>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</si>
  <si>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</si>
  <si>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</si>
  <si>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</si>
  <si>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</si>
  <si>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</si>
  <si>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</si>
  <si>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</si>
  <si>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</si>
  <si>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</si>
  <si>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</si>
  <si>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</si>
  <si>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</si>
  <si>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</si>
  <si>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</si>
  <si>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</si>
  <si>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</si>
  <si>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</si>
  <si>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</si>
  <si>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</si>
  <si>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</si>
  <si>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</si>
  <si>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</si>
  <si>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</si>
  <si>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</si>
  <si>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</si>
  <si>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</si>
  <si>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</si>
  <si>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</si>
  <si>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</si>
  <si>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</si>
  <si>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</si>
  <si>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</si>
  <si>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</si>
  <si>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</si>
  <si>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</si>
  <si>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</si>
  <si>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</si>
  <si>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</si>
  <si>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</si>
  <si>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</si>
  <si>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</si>
  <si>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</si>
  <si>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</si>
  <si>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</si>
  <si>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</si>
  <si>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</si>
  <si>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</si>
  <si>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</si>
  <si>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</si>
  <si>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</si>
  <si>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</si>
  <si>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</si>
  <si>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</si>
  <si>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</si>
  <si>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</si>
  <si>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</si>
  <si>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</si>
  <si>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</si>
  <si>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</si>
  <si>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</si>
  <si>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</si>
  <si>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</si>
  <si>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</si>
  <si>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</si>
  <si>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</si>
  <si>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</si>
  <si>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</si>
  <si>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</si>
  <si>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</si>
  <si>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</si>
  <si>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</si>
  <si>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</si>
  <si>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</si>
  <si>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</si>
  <si>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</si>
  <si>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</si>
  <si>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</si>
  <si>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</si>
  <si>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</si>
  <si>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</si>
  <si>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</si>
  <si>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</si>
  <si>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</si>
  <si>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</si>
  <si>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</si>
  <si>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</si>
  <si>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</si>
  <si>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</si>
  <si>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</si>
  <si>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</si>
  <si>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</si>
  <si>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</si>
  <si>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</si>
  <si>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</si>
  <si>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</si>
  <si>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</si>
  <si>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</si>
  <si>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</si>
  <si>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</si>
  <si>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</si>
  <si>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</si>
  <si>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</si>
  <si>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</si>
  <si>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</si>
  <si>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</si>
  <si>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</si>
  <si>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</si>
  <si>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</si>
  <si>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</si>
  <si>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</si>
  <si>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</si>
  <si>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</si>
  <si>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</si>
  <si>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</si>
  <si>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</si>
  <si>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</si>
  <si>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</si>
  <si>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</si>
  <si>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</si>
  <si>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</si>
  <si>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</si>
  <si>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</si>
  <si>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</si>
  <si>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</si>
  <si>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</si>
  <si>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</si>
  <si>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</si>
  <si>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</si>
  <si>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</si>
  <si>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</si>
  <si>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</si>
  <si>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</si>
  <si>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</si>
  <si>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</si>
  <si>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</si>
  <si>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</si>
  <si>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</si>
  <si>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</si>
  <si>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</si>
  <si>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</si>
  <si>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</si>
  <si>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</si>
  <si>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</si>
  <si>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</si>
  <si>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</si>
  <si>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</si>
  <si>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</si>
  <si>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</si>
  <si>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</si>
  <si>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</si>
  <si>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</si>
  <si>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</si>
  <si>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</si>
  <si>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</si>
  <si>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</si>
  <si>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</si>
  <si>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</si>
  <si>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</si>
  <si>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</si>
  <si>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</si>
  <si>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</si>
  <si>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</si>
  <si>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</si>
  <si>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</si>
  <si>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</si>
  <si>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</si>
  <si>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</si>
  <si>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</si>
  <si>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</si>
  <si>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</si>
  <si>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</si>
  <si>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</si>
  <si>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</si>
  <si>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</si>
  <si>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</si>
  <si>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</si>
  <si>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</si>
  <si>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</si>
  <si>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</si>
  <si>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</si>
  <si>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</si>
  <si>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</si>
  <si>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</si>
  <si>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</si>
  <si>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</si>
  <si>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</si>
  <si>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</si>
  <si>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</si>
  <si>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</si>
  <si>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</si>
  <si>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</si>
  <si>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</si>
  <si>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</si>
  <si>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</si>
  <si>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</si>
  <si>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</si>
  <si>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</si>
  <si>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</si>
  <si>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</si>
  <si>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</si>
  <si>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</si>
  <si>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</si>
  <si>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</si>
  <si>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</si>
  <si>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</si>
  <si>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</si>
  <si>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</si>
  <si>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</si>
  <si>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</si>
  <si>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</si>
  <si>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</si>
  <si>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</si>
  <si>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</si>
  <si>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</si>
  <si>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</si>
  <si>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</si>
  <si>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</si>
  <si>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</si>
  <si>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</si>
  <si>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</si>
  <si>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</si>
  <si>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</si>
  <si>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</si>
  <si>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</si>
  <si>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</si>
  <si>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</si>
  <si>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</si>
  <si>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</si>
  <si>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</si>
  <si>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</si>
  <si>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</si>
  <si>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</si>
  <si>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</si>
  <si>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</si>
  <si>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</si>
  <si>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</si>
  <si>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</si>
  <si>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</si>
  <si>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</si>
  <si>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</si>
  <si>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</si>
  <si>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</si>
  <si>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</si>
  <si>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</si>
  <si>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</si>
  <si>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</si>
  <si>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</si>
  <si>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</si>
  <si>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</si>
  <si>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</si>
  <si>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</si>
  <si>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</si>
  <si>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</si>
  <si>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</si>
  <si>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</si>
  <si>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</si>
  <si>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</si>
  <si>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</si>
  <si>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</si>
  <si>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</si>
  <si>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</si>
  <si>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</si>
  <si>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</si>
  <si>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</si>
  <si>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</si>
  <si>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</si>
  <si>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</si>
  <si>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</si>
  <si>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</si>
  <si>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</si>
  <si>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</si>
  <si>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</si>
  <si>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</si>
  <si>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</si>
  <si>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</si>
  <si>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</si>
  <si>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</si>
  <si>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</si>
  <si>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</si>
  <si>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</si>
  <si>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</si>
  <si>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</si>
  <si>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</si>
  <si>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</si>
  <si>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</si>
  <si>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</si>
  <si>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</si>
  <si>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</si>
  <si>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</si>
  <si>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</si>
  <si>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</si>
  <si>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</si>
  <si>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</si>
  <si>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</si>
  <si>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</si>
  <si>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</si>
  <si>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</si>
  <si>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</si>
  <si>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</si>
  <si>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</si>
  <si>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</si>
  <si>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</si>
  <si>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</si>
  <si>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</si>
  <si>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</si>
  <si>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</si>
  <si>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</si>
  <si>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</si>
  <si>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</si>
  <si>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</si>
  <si>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</si>
  <si>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</si>
  <si>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</si>
  <si>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</si>
  <si>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</si>
  <si>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</si>
  <si>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</si>
  <si>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</si>
  <si>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</si>
  <si>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</si>
  <si>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</si>
  <si>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</si>
  <si>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</si>
  <si>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</si>
  <si>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</si>
  <si>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</si>
  <si>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</si>
  <si>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</si>
  <si>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</si>
  <si>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</si>
  <si>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</si>
  <si>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</si>
  <si>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</si>
  <si>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</si>
  <si>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</si>
  <si>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</si>
  <si>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</si>
  <si>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</si>
  <si>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</si>
  <si>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</si>
  <si>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</si>
  <si>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</si>
  <si>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</si>
  <si>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</si>
  <si>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</si>
  <si>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</si>
  <si>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</si>
  <si>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</si>
  <si>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</si>
  <si>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</si>
  <si>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</si>
  <si>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</si>
  <si>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</si>
  <si>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</si>
  <si>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</si>
  <si>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</si>
  <si>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</si>
  <si>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</si>
  <si>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</si>
  <si>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</si>
  <si>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</si>
  <si>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</si>
  <si>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</si>
  <si>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</si>
  <si>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</si>
  <si>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</si>
  <si>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</si>
  <si>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</si>
  <si>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</si>
  <si>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</si>
  <si>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</si>
  <si>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</si>
  <si>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</si>
  <si>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</si>
  <si>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</si>
  <si>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</si>
  <si>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</si>
  <si>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</si>
  <si>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</si>
  <si>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</si>
  <si>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</si>
  <si>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</si>
  <si>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</si>
  <si>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</si>
  <si>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</si>
  <si>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</si>
  <si>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</si>
  <si>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</si>
  <si>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</si>
  <si>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</si>
  <si>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</si>
  <si>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</si>
  <si>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</si>
  <si>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</si>
  <si>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</si>
  <si>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</si>
  <si>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</si>
  <si>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</si>
  <si>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</si>
  <si>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</si>
  <si>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</si>
  <si>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</si>
  <si>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</si>
  <si>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</si>
  <si>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</si>
  <si>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</si>
  <si>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</si>
  <si>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</si>
  <si>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</si>
  <si>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</si>
  <si>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</si>
  <si>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</si>
  <si>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</si>
  <si>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</si>
  <si>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</si>
  <si>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</si>
  <si>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</si>
  <si>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</si>
  <si>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</si>
  <si>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</si>
  <si>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</si>
  <si>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</si>
  <si>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</si>
  <si>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</si>
  <si>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</si>
  <si>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</si>
  <si>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</si>
  <si>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</si>
  <si>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</si>
  <si>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</si>
  <si>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</si>
  <si>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</si>
  <si>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</si>
  <si>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</si>
  <si>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</si>
  <si>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</si>
  <si>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</si>
  <si>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</si>
  <si>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</si>
  <si>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</si>
  <si>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</si>
  <si>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</si>
  <si>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</si>
  <si>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</si>
  <si>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</si>
  <si>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</si>
  <si>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</si>
  <si>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</si>
  <si>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</si>
  <si>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</si>
  <si>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</si>
  <si>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</si>
  <si>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</si>
  <si>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</si>
  <si>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</si>
  <si>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</si>
  <si>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</si>
  <si>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</si>
  <si>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</si>
  <si>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</si>
  <si>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</si>
  <si>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</si>
  <si>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</si>
  <si>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</si>
  <si>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</si>
  <si>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</si>
  <si>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</si>
  <si>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</si>
  <si>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</si>
  <si>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</si>
  <si>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</si>
  <si>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</si>
  <si>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</si>
  <si>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</si>
  <si>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</si>
  <si>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</si>
  <si>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</si>
  <si>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</si>
  <si>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</si>
  <si>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</si>
  <si>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</si>
  <si>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</si>
  <si>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</si>
  <si>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</si>
  <si>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</si>
  <si>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</si>
  <si>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</si>
  <si>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</si>
  <si>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</si>
  <si>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</si>
  <si>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</si>
  <si>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</si>
  <si>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</si>
  <si>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</si>
  <si>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</si>
  <si>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</si>
  <si>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</si>
  <si>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</si>
  <si>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</si>
  <si>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</si>
  <si>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</si>
  <si>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</si>
  <si>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</si>
  <si>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</si>
  <si>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</si>
  <si>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</si>
  <si>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</si>
  <si>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</si>
  <si>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</si>
  <si>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</si>
  <si>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</si>
  <si>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</si>
  <si>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</si>
  <si>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</si>
  <si>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</si>
  <si>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</si>
  <si>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</si>
  <si>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</si>
  <si>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</si>
  <si>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</si>
  <si>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</si>
  <si>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</si>
  <si>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</si>
  <si>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</si>
  <si>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</si>
  <si>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</si>
  <si>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</si>
  <si>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</si>
  <si>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</si>
  <si>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</si>
  <si>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</si>
  <si>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</si>
  <si>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</si>
  <si>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</si>
  <si>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</si>
  <si>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</si>
  <si>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</si>
  <si>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</si>
  <si>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</si>
  <si>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</si>
  <si>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</si>
  <si>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</si>
  <si>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</si>
  <si>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</si>
  <si>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</si>
  <si>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</si>
  <si>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</si>
  <si>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</si>
  <si>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</si>
  <si>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</si>
  <si>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</si>
  <si>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</si>
  <si>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</si>
  <si>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</si>
  <si>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</si>
  <si>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</si>
  <si>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</si>
  <si>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</si>
  <si>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</si>
  <si>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</si>
  <si>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</si>
  <si>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</si>
  <si>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</si>
  <si>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</si>
  <si>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</si>
  <si>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</si>
  <si>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</si>
  <si>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</si>
  <si>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</si>
  <si>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</si>
  <si>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</si>
  <si>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</si>
  <si>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</si>
  <si>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</si>
  <si>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</si>
  <si>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</si>
  <si>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</si>
  <si>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</si>
  <si>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</si>
  <si>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</si>
  <si>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</si>
  <si>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</si>
  <si>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</si>
  <si>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</si>
  <si>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</si>
  <si>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</si>
  <si>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</si>
  <si>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</si>
  <si>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</si>
  <si>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</si>
  <si>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</si>
  <si>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</si>
  <si>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</si>
  <si>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</si>
  <si>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</si>
  <si>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</si>
  <si>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</si>
  <si>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</si>
  <si>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</si>
  <si>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</si>
  <si>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</si>
  <si>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</si>
  <si>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</si>
  <si>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</si>
  <si>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</si>
  <si>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</si>
  <si>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</si>
  <si>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</si>
  <si>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</si>
  <si>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</si>
  <si>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</si>
  <si>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</si>
  <si>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</si>
  <si>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</si>
  <si>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</si>
  <si>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</si>
  <si>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</si>
  <si>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</si>
  <si>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</si>
  <si>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</si>
  <si>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</si>
  <si>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</si>
  <si>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</si>
  <si>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</si>
  <si>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</si>
  <si>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</si>
  <si>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</si>
  <si>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</si>
  <si>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</si>
  <si>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</si>
  <si>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</si>
  <si>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</si>
  <si>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</si>
  <si>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</si>
  <si>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</si>
  <si>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</si>
  <si>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</si>
  <si>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</si>
  <si>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</si>
  <si>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</si>
  <si>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</si>
  <si>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</si>
  <si>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</si>
  <si>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</si>
  <si>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</si>
  <si>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</si>
  <si>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</si>
  <si>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</si>
  <si>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</si>
  <si>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</si>
  <si>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</si>
  <si>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</si>
  <si>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</si>
  <si>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</si>
  <si>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</si>
  <si>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</si>
  <si>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</si>
  <si>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</si>
  <si>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</si>
  <si>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</si>
  <si>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</si>
  <si>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</si>
  <si>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</si>
  <si>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</si>
  <si>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</si>
  <si>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</si>
  <si>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</si>
  <si>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</si>
  <si>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</si>
  <si>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</si>
  <si>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</si>
  <si>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</si>
  <si>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</si>
  <si>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</si>
  <si>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</si>
  <si>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</si>
  <si>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</si>
  <si>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</si>
  <si>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</si>
  <si>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</si>
  <si>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</si>
  <si>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</si>
  <si>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</si>
  <si>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</si>
  <si>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</si>
  <si>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</si>
  <si>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</si>
  <si>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</si>
  <si>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</si>
  <si>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</si>
  <si>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</si>
  <si>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</si>
  <si>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</si>
  <si>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</si>
  <si>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</si>
  <si>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</si>
  <si>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</si>
  <si>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</si>
  <si>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</si>
  <si>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</si>
  <si>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</si>
  <si>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</si>
  <si>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</si>
  <si>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</si>
  <si>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</si>
  <si>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</si>
  <si>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</si>
  <si>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</si>
  <si>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</si>
  <si>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</si>
  <si>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</si>
  <si>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</si>
  <si>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</si>
  <si>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</si>
  <si>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</si>
  <si>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</si>
  <si>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</si>
  <si>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</si>
  <si>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</si>
  <si>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</si>
  <si>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</si>
  <si>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</si>
  <si>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</si>
  <si>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</si>
  <si>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</si>
  <si>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</si>
  <si>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</si>
  <si>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</si>
  <si>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</si>
  <si>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</si>
  <si>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</si>
  <si>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</si>
  <si>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</si>
  <si>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</si>
  <si>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</si>
  <si>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</si>
  <si>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</si>
  <si>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</si>
  <si>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</si>
  <si>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</si>
  <si>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</si>
  <si>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</si>
  <si>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</si>
  <si>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</si>
  <si>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</si>
  <si>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</si>
  <si>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</si>
  <si>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</si>
  <si>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</si>
  <si>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</si>
  <si>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</si>
  <si>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</si>
  <si>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</si>
  <si>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</si>
  <si>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</si>
  <si>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</si>
  <si>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</si>
  <si>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</si>
  <si>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</si>
  <si>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</si>
  <si>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</si>
  <si>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</si>
  <si>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</si>
  <si>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</si>
  <si>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</si>
  <si>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</si>
  <si>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</si>
  <si>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</si>
  <si>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</si>
  <si>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</si>
  <si>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</si>
  <si>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</si>
  <si>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</si>
  <si>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</si>
  <si>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</si>
  <si>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</si>
  <si>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</si>
  <si>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</si>
  <si>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</si>
  <si>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</si>
  <si>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</si>
  <si>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</si>
  <si>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</si>
  <si>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</si>
  <si>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</si>
  <si>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</si>
  <si>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</si>
  <si>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</si>
  <si>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</si>
  <si>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</si>
  <si>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</si>
  <si>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</si>
  <si>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</si>
  <si>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</si>
  <si>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</si>
  <si>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</si>
  <si>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</si>
  <si>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</si>
  <si>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</si>
  <si>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</si>
  <si>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</si>
  <si>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</si>
  <si>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</si>
  <si>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</si>
  <si>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</si>
  <si>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</si>
  <si>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</si>
  <si>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</si>
  <si>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</si>
  <si>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</si>
  <si>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</si>
  <si>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</si>
  <si>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</si>
  <si>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</si>
  <si>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</si>
  <si>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</si>
  <si>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</si>
  <si>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</si>
  <si>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</si>
  <si>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</si>
  <si>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</si>
  <si>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</si>
  <si>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</si>
  <si>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</si>
  <si>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</si>
  <si>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</si>
  <si>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</si>
  <si>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</si>
  <si>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</si>
  <si>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</si>
  <si>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</si>
  <si>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</si>
  <si>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</si>
  <si>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</si>
  <si>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</si>
  <si>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</si>
  <si>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</si>
  <si>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</si>
  <si>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</si>
  <si>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</si>
  <si>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</si>
  <si>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</si>
  <si>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</si>
  <si>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</si>
  <si>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</si>
  <si>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</si>
  <si>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</si>
  <si>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</si>
  <si>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</si>
  <si>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</si>
  <si>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</si>
  <si>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</si>
  <si>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</si>
  <si>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</si>
  <si>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</si>
  <si>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</si>
  <si>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</si>
  <si>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</si>
  <si>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</si>
  <si>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</si>
  <si>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</si>
  <si>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</si>
  <si>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</si>
  <si>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</si>
  <si>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</si>
  <si>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</si>
  <si>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</si>
  <si>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</si>
  <si>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</si>
  <si>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</si>
  <si>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</si>
  <si>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</si>
  <si>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</si>
  <si>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</si>
  <si>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</si>
  <si>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</si>
  <si>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</si>
  <si>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</si>
  <si>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</si>
  <si>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</si>
  <si>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</si>
  <si>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</si>
  <si>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</si>
  <si>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</si>
  <si>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</si>
  <si>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</si>
  <si>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</si>
  <si>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</si>
  <si>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</si>
  <si>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</si>
  <si>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</si>
  <si>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</si>
  <si>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</si>
  <si>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</si>
  <si>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</si>
  <si>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</si>
  <si>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</si>
  <si>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</si>
  <si>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</si>
  <si>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</si>
  <si>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</si>
  <si>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</si>
  <si>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</si>
  <si>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</si>
  <si>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</si>
  <si>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</si>
  <si>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</si>
  <si>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</si>
  <si>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</si>
  <si>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</si>
  <si>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</si>
  <si>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</si>
  <si>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</si>
  <si>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</si>
  <si>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</si>
  <si>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</si>
  <si>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</si>
  <si>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</si>
  <si>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</si>
  <si>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</si>
  <si>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</si>
  <si>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</si>
  <si>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</si>
  <si>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</si>
  <si>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</si>
  <si>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</si>
  <si>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</si>
  <si>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</si>
  <si>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</si>
  <si>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</si>
  <si>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</si>
  <si>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</si>
  <si>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</si>
  <si>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</si>
  <si>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</si>
  <si>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</si>
  <si>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</si>
  <si>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</si>
  <si>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</si>
  <si>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</si>
  <si>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</si>
  <si>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</si>
  <si>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</si>
  <si>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</si>
  <si>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</si>
  <si>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</si>
  <si>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</si>
  <si>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</si>
  <si>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</si>
  <si>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</si>
  <si>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</si>
  <si>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</si>
  <si>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</si>
  <si>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</si>
  <si>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</si>
  <si>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</si>
  <si>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</si>
  <si>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</si>
  <si>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</si>
  <si>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</si>
  <si>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</si>
  <si>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</si>
  <si>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</si>
  <si>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</si>
  <si>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</si>
  <si>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</si>
  <si>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</si>
  <si>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</si>
  <si>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</si>
  <si>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</si>
  <si>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</si>
  <si>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</si>
  <si>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</si>
  <si>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</si>
  <si>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</si>
  <si>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</si>
  <si>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</si>
  <si>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</si>
  <si>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</si>
  <si>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</si>
  <si>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</si>
  <si>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</si>
  <si>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</si>
  <si>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</si>
  <si>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</si>
  <si>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</si>
  <si>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</si>
  <si>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</si>
  <si>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</si>
  <si>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</si>
  <si>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</si>
  <si>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</si>
  <si>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</si>
  <si>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</si>
  <si>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</si>
  <si>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</si>
  <si>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</si>
  <si>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</si>
  <si>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</si>
  <si>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</si>
  <si>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</si>
  <si>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</si>
  <si>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</si>
  <si>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</si>
  <si>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</si>
  <si>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</si>
  <si>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</si>
  <si>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</si>
  <si>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</si>
  <si>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</si>
  <si>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</si>
  <si>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</si>
  <si>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</si>
  <si>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</si>
  <si>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</si>
  <si>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</si>
  <si>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</si>
  <si>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</si>
  <si>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</si>
  <si>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</si>
  <si>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</si>
  <si>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</si>
  <si>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</si>
  <si>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</si>
  <si>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</si>
  <si>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</si>
  <si>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</si>
  <si>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</si>
  <si>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</si>
  <si>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</si>
  <si>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</si>
  <si>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</si>
  <si>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</si>
  <si>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</si>
  <si>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</si>
  <si>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</si>
  <si>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</si>
  <si>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</si>
  <si>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</si>
  <si>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</si>
  <si>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</si>
  <si>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</si>
  <si>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</si>
  <si>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</si>
  <si>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</si>
  <si>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</si>
  <si>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</si>
  <si>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</si>
  <si>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</si>
  <si>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</si>
  <si>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</si>
  <si>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</si>
  <si>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</si>
  <si>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</si>
  <si>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</si>
  <si>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</si>
  <si>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</si>
  <si>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</si>
  <si>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</si>
  <si>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</si>
  <si>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</si>
  <si>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</si>
  <si>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</si>
  <si>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</si>
  <si>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</si>
  <si>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</si>
  <si>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</si>
  <si>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</si>
  <si>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</si>
  <si>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</si>
  <si>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</si>
  <si>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</si>
  <si>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</si>
  <si>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</si>
  <si>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</si>
  <si>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</si>
  <si>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</si>
  <si>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</si>
  <si>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</si>
  <si>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</si>
  <si>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</si>
  <si>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</si>
  <si>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</si>
  <si>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</si>
  <si>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</si>
  <si>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</si>
  <si>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</si>
  <si>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</si>
  <si>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</si>
  <si>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</si>
  <si>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</si>
  <si>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</si>
  <si>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</si>
  <si>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</si>
  <si>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</si>
  <si>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</si>
  <si>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</si>
  <si>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</si>
  <si>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</si>
  <si>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</si>
  <si>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</si>
  <si>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</si>
  <si>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</si>
  <si>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</si>
  <si>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</si>
  <si>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</si>
  <si>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</si>
  <si>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</si>
  <si>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</si>
  <si>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</si>
  <si>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</si>
  <si>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</si>
  <si>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</si>
  <si>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</si>
  <si>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</si>
  <si>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</si>
  <si>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</si>
  <si>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</si>
  <si>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</si>
  <si>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</si>
  <si>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</si>
  <si>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</si>
  <si>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</si>
  <si>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</si>
  <si>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</si>
  <si>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</si>
  <si>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</si>
  <si>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</si>
  <si>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</si>
  <si>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</si>
  <si>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</si>
  <si>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</si>
  <si>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</si>
  <si>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</si>
  <si>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</si>
  <si>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</si>
  <si>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</si>
  <si>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</si>
  <si>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</si>
  <si>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</si>
  <si>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</si>
  <si>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</si>
  <si>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</si>
  <si>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</si>
  <si>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</si>
  <si>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</si>
  <si>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</si>
  <si>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</si>
  <si>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</si>
  <si>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</si>
  <si>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</si>
  <si>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</si>
  <si>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</si>
  <si>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</si>
  <si>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</si>
  <si>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</si>
  <si>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</si>
  <si>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</si>
  <si>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</si>
  <si>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</si>
  <si>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</si>
  <si>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</si>
  <si>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</si>
  <si>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</si>
  <si>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</si>
  <si>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</si>
  <si>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</si>
  <si>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</si>
  <si>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</si>
  <si>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</si>
  <si>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</si>
  <si>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</si>
  <si>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</si>
  <si>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</si>
  <si>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</si>
  <si>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</si>
  <si>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</si>
  <si>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</si>
  <si>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</si>
  <si>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</si>
  <si>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</si>
  <si>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</si>
  <si>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</si>
  <si>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</si>
  <si>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</si>
  <si>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</si>
  <si>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</si>
  <si>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</si>
  <si>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</si>
  <si>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</si>
  <si>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</si>
  <si>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</si>
  <si>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</si>
  <si>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</si>
  <si>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</si>
  <si>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</si>
  <si>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</si>
  <si>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</si>
  <si>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</si>
  <si>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</si>
  <si>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</si>
  <si>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</si>
  <si>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</si>
  <si>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</si>
  <si>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</si>
  <si>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</si>
  <si>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</si>
  <si>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</si>
  <si>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</si>
  <si>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</si>
  <si>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</si>
  <si>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</si>
  <si>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</si>
  <si>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</si>
  <si>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</si>
  <si>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</si>
  <si>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</si>
  <si>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</si>
  <si>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</si>
  <si>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</si>
  <si>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</si>
  <si>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</si>
  <si>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</si>
  <si>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</si>
  <si>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</si>
  <si>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</si>
  <si>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</si>
  <si>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</si>
  <si>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</si>
  <si>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</si>
  <si>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</si>
  <si>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</si>
  <si>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</si>
  <si>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</si>
  <si>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</si>
  <si>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</si>
  <si>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</si>
  <si>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</si>
  <si>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</si>
  <si>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</si>
  <si>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</si>
  <si>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</si>
  <si>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</si>
  <si>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</si>
  <si>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</si>
  <si>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</si>
  <si>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</si>
  <si>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</si>
  <si>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</si>
  <si>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</si>
  <si>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</si>
  <si>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</si>
  <si>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</si>
  <si>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</si>
  <si>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</si>
  <si>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</si>
  <si>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</si>
  <si>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</si>
  <si>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</si>
  <si>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</si>
  <si>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</si>
  <si>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</si>
  <si>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</si>
  <si>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</si>
  <si>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</si>
  <si>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</si>
  <si>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</si>
  <si>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</si>
  <si>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</si>
  <si>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</si>
  <si>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</si>
  <si>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</si>
  <si>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</si>
  <si>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</si>
  <si>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</si>
  <si>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</si>
  <si>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</si>
  <si>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</si>
  <si>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</si>
  <si>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</si>
  <si>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</si>
  <si>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</si>
  <si>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</si>
  <si>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</si>
  <si>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</si>
  <si>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</si>
  <si>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</si>
  <si>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</si>
  <si>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</si>
  <si>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</si>
  <si>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</si>
  <si>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</si>
  <si>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</si>
  <si>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</si>
  <si>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</si>
  <si>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</si>
  <si>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</si>
  <si>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</si>
  <si>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</si>
  <si>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</si>
  <si>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</si>
  <si>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</si>
  <si>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</si>
  <si>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</si>
  <si>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</si>
  <si>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</si>
  <si>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</si>
  <si>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</si>
  <si>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</si>
  <si>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</si>
  <si>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</si>
  <si>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</si>
  <si>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</si>
  <si>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</si>
  <si>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</si>
  <si>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</si>
  <si>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</si>
  <si>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</si>
  <si>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</si>
  <si>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</si>
  <si>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</si>
  <si>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</si>
  <si>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</si>
  <si>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</si>
  <si>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</si>
  <si>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</si>
  <si>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</si>
  <si>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</si>
  <si>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</si>
  <si>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</si>
  <si>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</si>
  <si>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</si>
  <si>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</si>
  <si>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</si>
  <si>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</si>
  <si>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</si>
  <si>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</si>
  <si>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</si>
  <si>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</si>
  <si>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</si>
  <si>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</si>
  <si>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</si>
  <si>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</si>
  <si>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</si>
  <si>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</si>
  <si>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</si>
  <si>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</si>
  <si>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</si>
  <si>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</si>
  <si>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</si>
  <si>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</si>
  <si>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</si>
  <si>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</si>
  <si>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</si>
  <si>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</si>
  <si>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</si>
  <si>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</si>
  <si>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</si>
  <si>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</si>
  <si>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</si>
  <si>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</si>
  <si>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</si>
  <si>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</si>
  <si>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</si>
  <si>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</si>
  <si>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</si>
  <si>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</si>
  <si>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</si>
  <si>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</si>
  <si>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</si>
  <si>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</si>
  <si>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</si>
  <si>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</si>
  <si>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</si>
  <si>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</si>
  <si>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</si>
  <si>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</si>
  <si>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</si>
  <si>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</si>
  <si>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</si>
  <si>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</si>
  <si>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</si>
  <si>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</si>
  <si>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</si>
  <si>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</si>
  <si>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</si>
  <si>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</si>
  <si>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</si>
  <si>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</si>
  <si>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</si>
  <si>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</si>
  <si>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</si>
  <si>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</si>
  <si>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</si>
  <si>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</si>
  <si>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</si>
  <si>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</si>
  <si>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</si>
  <si>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</si>
  <si>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</si>
  <si>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</si>
  <si>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</si>
  <si>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</si>
  <si>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</si>
  <si>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</si>
  <si>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</si>
  <si>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</si>
  <si>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</si>
  <si>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</si>
  <si>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</si>
  <si>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</si>
  <si>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</si>
  <si>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</si>
  <si>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</si>
  <si>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</si>
  <si>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</si>
  <si>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</si>
  <si>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</si>
  <si>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</si>
  <si>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</si>
  <si>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</si>
  <si>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</si>
  <si>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</si>
  <si>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</si>
  <si>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</si>
  <si>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</si>
  <si>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</si>
  <si>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</si>
  <si>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</si>
  <si>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</si>
  <si>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</si>
  <si>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</si>
  <si>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</si>
  <si>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</si>
  <si>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</si>
  <si>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</si>
  <si>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</si>
  <si>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</si>
  <si>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</si>
  <si>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</si>
  <si>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</si>
  <si>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</si>
  <si>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</si>
  <si>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</si>
  <si>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</si>
  <si>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</si>
  <si>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</si>
  <si>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</si>
  <si>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</si>
  <si>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</si>
  <si>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</si>
  <si>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</si>
  <si>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</si>
  <si>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</si>
  <si>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</si>
  <si>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</si>
  <si>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</si>
  <si>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</si>
  <si>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</si>
  <si>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</si>
  <si>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</si>
  <si>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</si>
  <si>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</si>
  <si>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</si>
  <si>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</si>
  <si>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</si>
  <si>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</si>
  <si>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</si>
  <si>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</si>
  <si>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</si>
  <si>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</si>
  <si>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</si>
  <si>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</si>
  <si>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</si>
  <si>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</si>
  <si>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</si>
  <si>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</si>
  <si>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</si>
  <si>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</si>
  <si>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</si>
  <si>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</si>
  <si>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</si>
  <si>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</si>
  <si>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</si>
  <si>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</si>
  <si>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</si>
  <si>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</si>
  <si>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</si>
  <si>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</si>
  <si>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</si>
  <si>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</si>
  <si>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</si>
  <si>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</si>
  <si>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</si>
  <si>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</si>
  <si>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</si>
  <si>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</si>
  <si>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</si>
  <si>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</si>
  <si>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</si>
  <si>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</si>
  <si>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</si>
  <si>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</si>
  <si>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</si>
  <si>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</si>
  <si>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</si>
  <si>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</si>
  <si>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</si>
  <si>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</si>
  <si>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</si>
  <si>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</si>
  <si>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</si>
  <si>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</si>
  <si>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</si>
  <si>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</si>
  <si>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</si>
  <si>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</si>
  <si>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</si>
  <si>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</si>
  <si>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</si>
  <si>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</si>
  <si>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</si>
  <si>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</si>
  <si>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</si>
  <si>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</si>
  <si>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</si>
  <si>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</si>
  <si>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</si>
  <si>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</si>
  <si>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</si>
  <si>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</si>
  <si>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</si>
  <si>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</si>
  <si>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</si>
  <si>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</si>
  <si>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</si>
  <si>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</si>
  <si>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</si>
  <si>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</si>
  <si>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</si>
  <si>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</si>
  <si>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</si>
  <si>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</si>
  <si>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</si>
  <si>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</si>
  <si>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</si>
  <si>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</si>
  <si>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</si>
  <si>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</si>
  <si>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</si>
  <si>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</si>
  <si>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</si>
  <si>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</si>
  <si>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</si>
  <si>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</si>
  <si>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</si>
  <si>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</si>
  <si>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</si>
  <si>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</si>
  <si>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</si>
  <si>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</si>
  <si>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</si>
  <si>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</si>
  <si>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</si>
  <si>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</si>
  <si>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</si>
  <si>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</si>
  <si>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</si>
  <si>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</si>
  <si>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</si>
  <si>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</si>
  <si>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</si>
  <si>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</si>
  <si>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</si>
  <si>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</si>
  <si>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</si>
  <si>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</si>
  <si>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</si>
  <si>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</si>
  <si>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</si>
  <si>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</si>
  <si>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</si>
  <si>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</si>
  <si>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</si>
  <si>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</si>
  <si>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</si>
  <si>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</si>
  <si>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</si>
  <si>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</si>
  <si>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</si>
  <si>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</si>
  <si>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</si>
  <si>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</si>
  <si>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</si>
  <si>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</si>
  <si>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</si>
  <si>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</si>
  <si>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</si>
  <si>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</si>
  <si>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</si>
  <si>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</si>
  <si>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</si>
  <si>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</si>
  <si>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</si>
  <si>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</si>
  <si>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</si>
  <si>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</si>
  <si>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</si>
  <si>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</si>
  <si>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</si>
  <si>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</si>
  <si>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</si>
  <si>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</si>
  <si>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</si>
  <si>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</si>
  <si>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</si>
  <si>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</si>
  <si>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</si>
  <si>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</si>
  <si>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</si>
  <si>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</si>
  <si>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</si>
  <si>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</si>
  <si>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</si>
  <si>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</si>
  <si>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</si>
  <si>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</si>
  <si>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</si>
  <si>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</si>
  <si>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</si>
  <si>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</si>
  <si>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</si>
  <si>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</si>
  <si>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</si>
  <si>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</si>
  <si>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</si>
  <si>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</si>
  <si>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</si>
  <si>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</si>
  <si>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</si>
  <si>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</si>
  <si>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</si>
  <si>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</si>
  <si>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</si>
  <si>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</si>
  <si>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</si>
  <si>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</si>
  <si>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</si>
  <si>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</si>
  <si>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</si>
  <si>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</si>
  <si>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</si>
  <si>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</si>
  <si>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</si>
  <si>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</si>
  <si>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</si>
  <si>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</si>
  <si>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</si>
  <si>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</si>
  <si>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</si>
  <si>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</si>
  <si>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</si>
  <si>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</si>
  <si>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</si>
  <si>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</si>
  <si>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</si>
  <si>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</si>
  <si>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</si>
  <si>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</si>
  <si>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</si>
  <si>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</si>
  <si>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</si>
  <si>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</si>
  <si>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</si>
  <si>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</si>
  <si>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</si>
  <si>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</si>
  <si>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</si>
  <si>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</si>
  <si>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</si>
  <si>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</si>
  <si>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</si>
  <si>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</si>
  <si>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</si>
  <si>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</si>
  <si>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</si>
  <si>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</si>
  <si>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</si>
  <si>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</si>
  <si>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</si>
  <si>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</si>
  <si>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</si>
  <si>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</si>
  <si>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</si>
  <si>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</si>
  <si>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</si>
  <si>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</si>
  <si>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</si>
  <si>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</si>
  <si>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</si>
  <si>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</si>
  <si>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</si>
  <si>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</si>
  <si>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</si>
  <si>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</si>
  <si>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</si>
  <si>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</si>
  <si>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</si>
  <si>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</si>
  <si>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</si>
  <si>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</si>
  <si>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</si>
  <si>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</si>
  <si>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</si>
  <si>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</si>
  <si>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</si>
  <si>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</si>
  <si>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</si>
  <si>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</si>
  <si>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</si>
  <si>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</si>
  <si>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</si>
  <si>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</si>
  <si>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</si>
  <si>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</si>
  <si>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</si>
  <si>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</si>
  <si>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</si>
  <si>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</si>
  <si>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</si>
  <si>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</si>
  <si>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</si>
  <si>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</si>
  <si>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</si>
  <si>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</si>
  <si>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</si>
  <si>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</si>
  <si>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</si>
  <si>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</si>
  <si>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</si>
  <si>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</si>
  <si>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</si>
  <si>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</si>
  <si>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</si>
  <si>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</si>
  <si>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</si>
  <si>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</si>
  <si>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</si>
  <si>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</si>
  <si>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</si>
  <si>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</si>
  <si>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</si>
  <si>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</si>
  <si>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</si>
  <si>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</si>
  <si>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</si>
  <si>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</si>
  <si>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</si>
  <si>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</si>
  <si>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</si>
  <si>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</si>
  <si>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</si>
  <si>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</si>
  <si>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</si>
  <si>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</si>
  <si>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</si>
  <si>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</si>
  <si>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</si>
  <si>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</si>
  <si>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</si>
  <si>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</si>
  <si>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</si>
  <si>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</si>
  <si>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</si>
  <si>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</si>
  <si>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</si>
  <si>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</si>
  <si>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</si>
  <si>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</si>
  <si>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</si>
  <si>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</si>
  <si>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</si>
  <si>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</si>
  <si>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</si>
  <si>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</si>
  <si>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</si>
  <si>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</si>
  <si>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</si>
  <si>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</si>
  <si>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</si>
  <si>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</si>
  <si>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</si>
  <si>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</si>
  <si>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</si>
  <si>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</si>
  <si>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</si>
  <si>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</si>
  <si>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</si>
  <si>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</si>
  <si>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</si>
  <si>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</si>
  <si>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</si>
  <si>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</si>
  <si>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</si>
  <si>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</si>
  <si>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</si>
  <si>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</si>
  <si>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</si>
  <si>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</si>
  <si>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</si>
  <si>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</si>
  <si>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</si>
  <si>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</si>
  <si>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</si>
  <si>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</si>
  <si>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</si>
  <si>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</si>
  <si>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</si>
  <si>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</si>
  <si>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</si>
  <si>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</si>
  <si>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</si>
  <si>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</si>
  <si>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</si>
  <si>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</si>
  <si>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</si>
  <si>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</si>
  <si>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</si>
  <si>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</si>
  <si>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</si>
  <si>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</si>
  <si>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</si>
  <si>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</si>
  <si>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</si>
  <si>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</si>
  <si>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</si>
  <si>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</si>
  <si>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</si>
  <si>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</si>
  <si>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</si>
  <si>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</si>
  <si>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</si>
  <si>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</si>
  <si>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</si>
  <si>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</si>
  <si>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</si>
  <si>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</si>
  <si>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</si>
  <si>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</si>
  <si>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</si>
  <si>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</si>
  <si>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</si>
  <si>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</si>
  <si>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</si>
  <si>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</si>
  <si>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</si>
  <si>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</si>
  <si>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</si>
  <si>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</si>
  <si>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</si>
  <si>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</si>
  <si>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</si>
  <si>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</si>
  <si>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</si>
  <si>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</si>
  <si>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</si>
  <si>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</si>
  <si>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</si>
  <si>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</si>
  <si>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</si>
  <si>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</si>
  <si>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</si>
  <si>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</si>
  <si>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</si>
  <si>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</si>
  <si>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</si>
  <si>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</si>
  <si>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</si>
  <si>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</si>
  <si>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</si>
  <si>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</si>
  <si>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</si>
  <si>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</si>
  <si>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</si>
  <si>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</si>
  <si>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</si>
  <si>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</si>
  <si>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</si>
  <si>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</si>
  <si>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</si>
  <si>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</si>
  <si>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</si>
  <si>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</si>
  <si>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</si>
  <si>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</si>
  <si>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</si>
  <si>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</si>
  <si>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</si>
  <si>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</si>
  <si>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</si>
  <si>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</si>
  <si>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</si>
  <si>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</si>
  <si>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</si>
  <si>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</si>
  <si>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</si>
  <si>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</si>
  <si>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</si>
  <si>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</si>
  <si>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</si>
  <si>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</si>
  <si>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</si>
  <si>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</si>
  <si>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</si>
  <si>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</si>
  <si>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</si>
  <si>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</si>
  <si>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</si>
  <si>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</si>
  <si>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</si>
  <si>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</si>
  <si>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</si>
  <si>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</si>
  <si>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</si>
  <si>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</si>
  <si>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</si>
  <si>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</si>
  <si>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</si>
  <si>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</si>
  <si>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</si>
  <si>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</si>
  <si>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</si>
  <si>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</si>
  <si>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</si>
  <si>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</si>
  <si>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</si>
  <si>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</si>
  <si>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</si>
  <si>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</si>
  <si>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</si>
  <si>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</si>
  <si>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</si>
  <si>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</si>
  <si>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</si>
  <si>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</si>
  <si>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</si>
  <si>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</si>
  <si>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</si>
  <si>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</si>
  <si>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</si>
  <si>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</si>
  <si>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</si>
  <si>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</si>
  <si>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</si>
  <si>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</si>
  <si>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</si>
  <si>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</si>
  <si>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</si>
  <si>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</si>
  <si>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</si>
  <si>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</si>
  <si>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</si>
  <si>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</si>
  <si>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</si>
  <si>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</si>
  <si>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</si>
  <si>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</si>
  <si>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</si>
  <si>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</si>
  <si>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</si>
  <si>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</si>
  <si>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</si>
  <si>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</si>
  <si>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</si>
  <si>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</si>
  <si>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</si>
  <si>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</si>
  <si>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</si>
  <si>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</si>
  <si>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</si>
  <si>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</si>
  <si>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</si>
  <si>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</si>
  <si>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</si>
  <si>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</si>
  <si>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</si>
  <si>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</si>
  <si>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</si>
  <si>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</si>
  <si>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</si>
  <si>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</si>
  <si>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</si>
  <si>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</si>
  <si>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</si>
  <si>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</si>
  <si>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</si>
  <si>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</si>
  <si>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</si>
  <si>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</si>
  <si>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</si>
  <si>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</si>
  <si>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</si>
  <si>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</si>
  <si>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</si>
  <si>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</si>
  <si>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</si>
  <si>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</si>
  <si>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</si>
  <si>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</si>
  <si>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</si>
  <si>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</si>
  <si>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</si>
  <si>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</si>
  <si>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</si>
  <si>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</si>
  <si>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</si>
  <si>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</si>
  <si>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</si>
  <si>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</si>
  <si>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</si>
  <si>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</si>
  <si>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</si>
  <si>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</si>
  <si>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</si>
  <si>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</si>
  <si>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</si>
  <si>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</si>
  <si>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</si>
  <si>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</si>
  <si>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</si>
  <si>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</si>
  <si>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</si>
  <si>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</si>
  <si>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</si>
  <si>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</si>
  <si>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</si>
  <si>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</si>
  <si>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</si>
  <si>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</si>
  <si>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</si>
  <si>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</si>
  <si>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</si>
  <si>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</si>
  <si>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</si>
  <si>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</si>
  <si>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</si>
  <si>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</si>
  <si>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</si>
  <si>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</si>
  <si>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</si>
  <si>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</si>
  <si>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</si>
  <si>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</si>
  <si>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</si>
  <si>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</si>
  <si>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</si>
  <si>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</si>
  <si>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</si>
  <si>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</si>
  <si>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</si>
  <si>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</si>
  <si>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</si>
  <si>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</si>
  <si>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</si>
  <si>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</si>
  <si>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</si>
  <si>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</si>
  <si>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</si>
  <si>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</si>
  <si>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</si>
  <si>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</si>
  <si>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</si>
  <si>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</si>
  <si>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</si>
  <si>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</si>
  <si>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</si>
  <si>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</si>
  <si>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</si>
  <si>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</si>
  <si>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</si>
  <si>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</si>
  <si>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</si>
  <si>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</si>
  <si>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</si>
  <si>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</si>
  <si>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</si>
  <si>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</si>
  <si>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</si>
  <si>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</si>
  <si>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</si>
  <si>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</si>
  <si>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</si>
  <si>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</si>
  <si>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</si>
  <si>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</si>
  <si>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</si>
  <si>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</si>
  <si>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</si>
  <si>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</si>
  <si>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</si>
  <si>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</si>
  <si>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</si>
  <si>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</si>
  <si>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</si>
  <si>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</si>
  <si>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</si>
  <si>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</si>
  <si>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</si>
  <si>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</si>
  <si>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</si>
  <si>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</si>
  <si>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</si>
  <si>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</si>
  <si>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</si>
  <si>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</si>
  <si>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</si>
  <si>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</si>
  <si>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</si>
  <si>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</si>
  <si>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</si>
  <si>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</si>
  <si>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</si>
  <si>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</si>
  <si>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</si>
  <si>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</si>
  <si>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</si>
  <si>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</si>
  <si>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</si>
  <si>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</si>
  <si>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</si>
  <si>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</si>
  <si>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</si>
  <si>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</si>
  <si>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</si>
  <si>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</si>
  <si>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</si>
  <si>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</si>
  <si>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</si>
  <si>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</si>
  <si>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</si>
  <si>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</si>
  <si>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</si>
  <si>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</si>
  <si>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</si>
  <si>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</si>
  <si>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</si>
  <si>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</si>
  <si>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</si>
  <si>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</si>
  <si>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</si>
  <si>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</si>
  <si>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</si>
  <si>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</si>
  <si>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</si>
  <si>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</si>
  <si>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</si>
  <si>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</si>
  <si>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</si>
  <si>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</si>
  <si>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</si>
  <si>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</si>
  <si>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</si>
  <si>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</si>
  <si>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</si>
  <si>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</si>
  <si>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</si>
  <si>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</si>
  <si>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</si>
  <si>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</si>
  <si>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</si>
  <si>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</si>
  <si>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</si>
  <si>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</si>
  <si>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</si>
  <si>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</si>
  <si>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</si>
  <si>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</si>
  <si>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</si>
  <si>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</si>
  <si>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</si>
  <si>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</si>
  <si>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</si>
  <si>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</si>
  <si>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</si>
  <si>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</si>
  <si>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</si>
  <si>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</si>
  <si>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</si>
  <si>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</si>
  <si>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</si>
  <si>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</si>
  <si>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</si>
  <si>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</si>
  <si>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</si>
  <si>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</si>
  <si>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</si>
  <si>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</si>
  <si>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</si>
  <si>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</si>
  <si>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</si>
  <si>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</si>
  <si>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</si>
  <si>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</si>
  <si>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</si>
  <si>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</si>
  <si>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</si>
  <si>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</si>
  <si>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</si>
  <si>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</si>
  <si>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</si>
  <si>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</si>
  <si>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</si>
  <si>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</si>
  <si>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</si>
  <si>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</si>
  <si>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</si>
  <si>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</si>
  <si>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</si>
  <si>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</si>
  <si>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</si>
  <si>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</si>
  <si>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</si>
  <si>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</si>
  <si>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</si>
  <si>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</si>
  <si>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</si>
  <si>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</si>
  <si>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</si>
  <si>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</si>
  <si>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</si>
  <si>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</si>
  <si>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</si>
  <si>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</si>
  <si>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</si>
  <si>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</si>
  <si>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</si>
  <si>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</si>
  <si>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</si>
  <si>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</si>
  <si>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</si>
  <si>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</si>
  <si>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</si>
  <si>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</si>
  <si>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</si>
  <si>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</si>
  <si>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</si>
  <si>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</si>
  <si>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</si>
  <si>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</si>
  <si>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</si>
  <si>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</si>
  <si>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</si>
  <si>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</si>
  <si>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</si>
  <si>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</si>
  <si>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</si>
  <si>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</si>
  <si>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</si>
  <si>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</si>
  <si>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</si>
  <si>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</si>
  <si>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</si>
  <si>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</si>
  <si>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</si>
  <si>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</si>
  <si>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</si>
  <si>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</si>
  <si>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</si>
  <si>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</si>
  <si>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</si>
  <si>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</si>
  <si>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</si>
  <si>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</si>
  <si>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</si>
  <si>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</si>
  <si>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</si>
  <si>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</si>
  <si>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</si>
  <si>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</si>
  <si>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</si>
  <si>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</si>
  <si>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</si>
  <si>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</si>
  <si>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</si>
  <si>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</si>
  <si>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</si>
  <si>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</si>
  <si>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</si>
  <si>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</si>
  <si>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</si>
  <si>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</si>
  <si>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</si>
  <si>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</si>
  <si>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</si>
  <si>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</si>
  <si>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</si>
  <si>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</si>
  <si>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</si>
  <si>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</si>
  <si>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</si>
  <si>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</si>
  <si>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</si>
  <si>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</si>
  <si>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</si>
  <si>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</si>
  <si>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</si>
  <si>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</si>
  <si>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</si>
  <si>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</si>
  <si>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</si>
  <si>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</si>
  <si>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</si>
  <si>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</si>
  <si>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</si>
  <si>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</si>
  <si>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</si>
  <si>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</si>
  <si>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</si>
  <si>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</si>
  <si>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</si>
  <si>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</si>
  <si>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</si>
  <si>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</si>
  <si>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</si>
  <si>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</si>
  <si>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</si>
  <si>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</si>
  <si>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</si>
  <si>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</si>
  <si>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</si>
  <si>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</si>
  <si>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</si>
  <si>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</si>
  <si>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</si>
  <si>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</si>
  <si>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</si>
  <si>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</si>
  <si>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</si>
  <si>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</si>
  <si>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</si>
  <si>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</si>
  <si>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</si>
  <si>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</si>
  <si>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</si>
  <si>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</si>
  <si>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</si>
  <si>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</si>
  <si>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</si>
  <si>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</si>
  <si>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</si>
  <si>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</si>
  <si>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</si>
  <si>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</si>
  <si>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</si>
  <si>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</si>
  <si>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</si>
  <si>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</si>
  <si>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</si>
  <si>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</si>
  <si>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</si>
  <si>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</si>
  <si>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</si>
  <si>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</si>
  <si>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</si>
  <si>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</si>
  <si>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</si>
  <si>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</si>
  <si>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</si>
  <si>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</si>
  <si>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</si>
  <si>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</si>
  <si>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</si>
  <si>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</si>
  <si>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</si>
  <si>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</si>
  <si>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</si>
  <si>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</si>
  <si>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</si>
  <si>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</si>
  <si>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</si>
  <si>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</si>
  <si>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</si>
  <si>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</si>
  <si>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</si>
  <si>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</si>
  <si>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</si>
  <si>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</si>
  <si>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</si>
  <si>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</si>
  <si>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</si>
  <si>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</si>
  <si>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</si>
  <si>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</si>
  <si>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</si>
  <si>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</si>
  <si>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</si>
  <si>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</si>
  <si>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</si>
  <si>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</si>
  <si>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</si>
  <si>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</si>
  <si>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</si>
  <si>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</si>
  <si>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</si>
  <si>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</si>
  <si>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</si>
  <si>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</si>
  <si>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</si>
  <si>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</si>
  <si>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</si>
  <si>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</si>
  <si>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</si>
  <si>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</si>
  <si>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</si>
  <si>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</si>
  <si>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</si>
  <si>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</si>
  <si>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</si>
  <si>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</si>
  <si>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</si>
  <si>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</si>
  <si>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</si>
  <si>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</si>
  <si>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</si>
  <si>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</si>
  <si>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</si>
  <si>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</si>
  <si>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</si>
  <si>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</si>
  <si>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</si>
  <si>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</si>
  <si>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</si>
  <si>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</si>
  <si>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</si>
  <si>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</si>
  <si>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</si>
  <si>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</si>
  <si>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</si>
  <si>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</si>
  <si>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</si>
  <si>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</si>
  <si>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</si>
  <si>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</si>
  <si>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</si>
  <si>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</si>
  <si>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</si>
  <si>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</si>
  <si>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</si>
  <si>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</si>
  <si>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</si>
  <si>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</si>
  <si>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</si>
  <si>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</si>
  <si>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</si>
  <si>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</si>
  <si>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</si>
  <si>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</si>
  <si>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</si>
  <si>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</si>
  <si>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</si>
  <si>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</si>
  <si>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</si>
  <si>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</si>
  <si>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</si>
  <si>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</si>
  <si>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</si>
  <si>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</si>
  <si>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</si>
  <si>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</si>
  <si>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</si>
  <si>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</si>
  <si>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</si>
  <si>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</si>
  <si>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</si>
  <si>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</si>
  <si>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</si>
  <si>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</si>
  <si>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</si>
  <si>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</si>
  <si>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</si>
  <si>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</si>
  <si>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</si>
  <si>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</si>
  <si>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</si>
  <si>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</si>
  <si>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</si>
  <si>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</si>
  <si>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</si>
  <si>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</si>
  <si>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</si>
  <si>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</si>
  <si>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</si>
  <si>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</si>
  <si>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</si>
  <si>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</si>
  <si>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</si>
  <si>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</si>
  <si>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</si>
  <si>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</si>
  <si>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</si>
  <si>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</si>
  <si>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</si>
  <si>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</si>
  <si>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</si>
  <si>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</si>
  <si>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</si>
  <si>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</si>
  <si>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</si>
  <si>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</si>
  <si>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</si>
  <si>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</si>
  <si>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</si>
  <si>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</si>
  <si>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</si>
  <si>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</si>
  <si>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</si>
  <si>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</si>
  <si>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</si>
  <si>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</si>
  <si>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</si>
  <si>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</si>
  <si>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</si>
  <si>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</si>
  <si>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</si>
  <si>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</si>
  <si>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</si>
  <si>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</si>
  <si>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</si>
  <si>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</si>
  <si>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</si>
  <si>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</si>
  <si>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</si>
  <si>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</si>
  <si>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</si>
  <si>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</si>
  <si>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</si>
  <si>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</si>
  <si>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</si>
  <si>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</si>
  <si>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</si>
  <si>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</si>
  <si>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</si>
  <si>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</si>
  <si>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</si>
  <si>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</si>
  <si>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</si>
  <si>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</si>
  <si>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</si>
  <si>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</si>
  <si>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</si>
  <si>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</si>
  <si>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</si>
  <si>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</si>
  <si>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</si>
  <si>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</si>
  <si>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</si>
  <si>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</si>
  <si>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</si>
  <si>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</si>
  <si>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</si>
  <si>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</si>
  <si>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</si>
  <si>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</si>
  <si>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</si>
  <si>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</si>
  <si>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</si>
  <si>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</si>
  <si>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</si>
  <si>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</si>
  <si>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</si>
  <si>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</si>
  <si>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</si>
  <si>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</si>
  <si>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</si>
  <si>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</si>
  <si>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</si>
  <si>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</si>
  <si>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</si>
  <si>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</si>
  <si>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</si>
  <si>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</si>
  <si>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</si>
  <si>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</si>
  <si>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</si>
  <si>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</si>
  <si>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</si>
  <si>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</si>
  <si>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</si>
  <si>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</si>
  <si>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</si>
  <si>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</si>
  <si>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</si>
  <si>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</si>
  <si>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</si>
  <si>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</si>
  <si>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</si>
  <si>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</si>
  <si>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</si>
  <si>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</si>
  <si>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</si>
  <si>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</si>
  <si>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</si>
  <si>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</si>
  <si>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</si>
  <si>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</si>
  <si>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</si>
  <si>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</si>
  <si>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</si>
  <si>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</si>
  <si>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</si>
  <si>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</si>
  <si>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</si>
  <si>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</si>
  <si>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</si>
  <si>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</si>
  <si>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</si>
  <si>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</si>
  <si>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</si>
  <si>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</si>
  <si>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</si>
  <si>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</si>
  <si>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</si>
  <si>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</si>
  <si>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</si>
  <si>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</si>
  <si>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</si>
  <si>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</si>
  <si>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</si>
  <si>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</si>
  <si>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</si>
  <si>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</si>
  <si>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</si>
  <si>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</si>
  <si>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</si>
  <si>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</si>
  <si>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</si>
  <si>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</si>
  <si>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</si>
  <si>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</si>
  <si>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</si>
  <si>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</si>
  <si>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</si>
  <si>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</si>
  <si>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</si>
  <si>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</si>
  <si>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</si>
  <si>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</si>
  <si>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</si>
  <si>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</si>
  <si>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</si>
  <si>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</si>
  <si>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</si>
  <si>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</si>
  <si>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</si>
  <si>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</si>
  <si>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</si>
  <si>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</si>
  <si>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</si>
  <si>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</si>
  <si>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</si>
  <si>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</si>
  <si>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</si>
  <si>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</si>
  <si>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</si>
  <si>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</si>
  <si>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</si>
  <si>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</si>
  <si>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</si>
  <si>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</si>
  <si>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</si>
  <si>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</si>
  <si>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</si>
  <si>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</si>
  <si>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</si>
  <si>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</si>
  <si>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</si>
  <si>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</si>
  <si>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</si>
  <si>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</si>
  <si>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</si>
  <si>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</si>
  <si>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</si>
  <si>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</si>
  <si>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</si>
  <si>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</si>
  <si>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</si>
  <si>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</si>
  <si>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</si>
  <si>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</si>
  <si>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</si>
  <si>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</si>
  <si>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</si>
  <si>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</si>
  <si>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</si>
  <si>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</si>
  <si>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</si>
  <si>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</si>
  <si>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</si>
  <si>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</si>
  <si>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</si>
  <si>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</si>
  <si>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</si>
  <si>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</si>
  <si>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</si>
  <si>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</si>
  <si>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</si>
  <si>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</si>
  <si>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</si>
  <si>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</si>
  <si>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</si>
  <si>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</si>
  <si>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</si>
  <si>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</si>
  <si>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</si>
  <si>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</si>
  <si>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</si>
  <si>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</si>
  <si>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</si>
  <si>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</si>
  <si>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</si>
  <si>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</si>
  <si>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</si>
  <si>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</si>
  <si>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</si>
  <si>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</si>
  <si>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</si>
  <si>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</si>
  <si>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</si>
  <si>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</si>
  <si>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</si>
  <si>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</si>
  <si>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</si>
  <si>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</si>
  <si>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</si>
  <si>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</si>
  <si>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</si>
  <si>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</si>
  <si>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</si>
  <si>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</si>
  <si>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</si>
  <si>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</si>
  <si>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</si>
  <si>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</si>
  <si>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</si>
  <si>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</si>
  <si>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</si>
  <si>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</si>
  <si>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</si>
  <si>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</si>
  <si>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</si>
  <si>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</si>
  <si>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</si>
  <si>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</si>
  <si>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</si>
  <si>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</si>
  <si>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</si>
  <si>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</si>
  <si>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</si>
  <si>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</si>
  <si>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</si>
  <si>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</si>
  <si>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</si>
  <si>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</si>
  <si>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</si>
  <si>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</si>
  <si>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</si>
  <si>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</si>
  <si>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</si>
  <si>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</si>
  <si>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</si>
  <si>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</si>
  <si>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</si>
  <si>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</si>
  <si>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</si>
  <si>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</si>
  <si>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</si>
  <si>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</si>
  <si>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</si>
  <si>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</si>
  <si>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</si>
  <si>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</si>
  <si>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</si>
  <si>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</si>
  <si>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</si>
  <si>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</si>
  <si>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</si>
  <si>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</si>
  <si>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</si>
  <si>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</si>
  <si>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</si>
  <si>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</si>
  <si>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</si>
  <si>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</si>
  <si>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</si>
  <si>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</si>
  <si>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</si>
  <si>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</si>
  <si>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</si>
  <si>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</si>
  <si>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</si>
  <si>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</si>
  <si>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</si>
  <si>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</si>
  <si>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</si>
  <si>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</si>
  <si>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</si>
  <si>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</si>
  <si>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</si>
  <si>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</si>
  <si>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</si>
  <si>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</si>
  <si>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</si>
  <si>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</si>
  <si>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</si>
  <si>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</si>
  <si>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</si>
  <si>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</si>
  <si>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</si>
  <si>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</si>
  <si>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</si>
  <si>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</si>
  <si>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</si>
  <si>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</si>
  <si>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</si>
  <si>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</si>
  <si>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</si>
  <si>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</si>
  <si>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</si>
  <si>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</si>
  <si>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</si>
  <si>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</si>
  <si>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</si>
  <si>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</si>
  <si>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</si>
  <si>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</si>
  <si>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</si>
  <si>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</si>
  <si>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</si>
  <si>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</si>
  <si>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</si>
  <si>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</si>
  <si>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</si>
  <si>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</si>
  <si>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</si>
  <si>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</si>
  <si>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</si>
  <si>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</si>
  <si>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</si>
  <si>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</si>
  <si>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</si>
  <si>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</si>
  <si>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</si>
  <si>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</si>
  <si>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</si>
  <si>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</si>
  <si>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</si>
  <si>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</si>
  <si>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</si>
  <si>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</si>
  <si>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</si>
  <si>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</si>
  <si>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</si>
  <si>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</si>
  <si>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</si>
  <si>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</si>
  <si>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</si>
  <si>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</si>
  <si>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</si>
  <si>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</si>
  <si>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</si>
  <si>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</si>
  <si>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</si>
  <si>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</si>
  <si>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</si>
  <si>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</si>
  <si>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</si>
  <si>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</si>
  <si>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</si>
  <si>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</si>
  <si>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</si>
  <si>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</si>
  <si>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</si>
  <si>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</si>
  <si>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</si>
  <si>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</si>
  <si>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</si>
  <si>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</si>
  <si>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</si>
  <si>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</si>
  <si>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</si>
  <si>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</si>
  <si>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</si>
  <si>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</si>
  <si>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</si>
  <si>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</si>
  <si>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</si>
  <si>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</si>
  <si>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</si>
  <si>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</si>
  <si>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</si>
  <si>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</si>
  <si>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</si>
  <si>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</si>
  <si>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</si>
  <si>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</si>
  <si>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</si>
  <si>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</si>
  <si>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</si>
  <si>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</si>
  <si>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</si>
  <si>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</si>
  <si>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</si>
  <si>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</si>
  <si>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</si>
  <si>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</si>
  <si>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</si>
  <si>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</si>
  <si>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</si>
  <si>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</si>
  <si>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</si>
  <si>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</si>
  <si>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</si>
  <si>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</si>
  <si>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</si>
  <si>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</si>
  <si>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</si>
  <si>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</si>
  <si>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</si>
  <si>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</si>
  <si>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</si>
  <si>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</si>
  <si>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</si>
  <si>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</si>
  <si>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</si>
  <si>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</si>
  <si>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</si>
  <si>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</si>
  <si>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</si>
  <si>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</si>
  <si>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</si>
  <si>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</si>
  <si>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</si>
  <si>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</si>
  <si>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</si>
  <si>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</si>
  <si>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</si>
  <si>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</si>
  <si>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</si>
  <si>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</si>
  <si>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</si>
  <si>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</si>
  <si>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</si>
  <si>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</si>
  <si>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</si>
  <si>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</si>
  <si>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</si>
  <si>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</si>
  <si>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</si>
  <si>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</si>
  <si>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</si>
  <si>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</si>
  <si>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</si>
  <si>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</si>
  <si>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</si>
  <si>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</si>
  <si>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</si>
  <si>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</si>
  <si>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</si>
  <si>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</si>
  <si>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</si>
  <si>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</si>
  <si>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</si>
  <si>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</si>
  <si>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</si>
  <si>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</si>
  <si>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</si>
  <si>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</si>
  <si>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</si>
  <si>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</si>
  <si>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</si>
  <si>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</si>
  <si>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</si>
  <si>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</si>
  <si>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</si>
  <si>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</si>
  <si>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</si>
  <si>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</si>
  <si>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</si>
  <si>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</si>
  <si>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</si>
  <si>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</si>
  <si>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</si>
  <si>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</si>
  <si>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</si>
  <si>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</si>
  <si>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</si>
  <si>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</si>
  <si>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</si>
  <si>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</si>
  <si>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</si>
  <si>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</si>
  <si>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</si>
  <si>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</si>
  <si>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</si>
  <si>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</si>
  <si>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</si>
  <si>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</si>
  <si>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</si>
  <si>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</si>
  <si>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</si>
  <si>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</si>
  <si>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</si>
  <si>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</si>
  <si>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</si>
  <si>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</si>
  <si>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</si>
  <si>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</si>
  <si>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</si>
  <si>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</si>
  <si>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</si>
  <si>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</si>
  <si>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</si>
  <si>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</si>
  <si>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</si>
  <si>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</si>
  <si>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</si>
  <si>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</si>
  <si>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</si>
  <si>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</si>
  <si>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</si>
  <si>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</si>
  <si>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</si>
  <si>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</si>
  <si>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</si>
  <si>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</si>
  <si>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</si>
  <si>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</si>
  <si>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</si>
  <si>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</si>
  <si>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</si>
  <si>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</si>
  <si>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</si>
  <si>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</si>
  <si>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</si>
  <si>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</si>
  <si>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</si>
  <si>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</si>
  <si>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</si>
  <si>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</si>
  <si>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</si>
  <si>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</si>
  <si>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</si>
  <si>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</si>
  <si>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</si>
  <si>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</si>
  <si>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</si>
  <si>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</si>
  <si>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</si>
  <si>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</si>
  <si>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</si>
  <si>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</si>
  <si>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</si>
  <si>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</si>
  <si>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</si>
  <si>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</si>
  <si>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</si>
  <si>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</si>
  <si>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</si>
  <si>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</si>
  <si>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</si>
  <si>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</si>
  <si>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</si>
  <si>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</si>
  <si>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</si>
  <si>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</si>
  <si>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</si>
  <si>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</si>
  <si>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</si>
  <si>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</si>
  <si>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</si>
  <si>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</si>
  <si>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</si>
  <si>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</si>
  <si>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</si>
  <si>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</si>
  <si>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</si>
  <si>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</si>
  <si>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</si>
  <si>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</si>
  <si>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</si>
  <si>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</si>
  <si>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</si>
  <si>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</si>
  <si>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</si>
  <si>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</si>
  <si>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</si>
  <si>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</si>
  <si>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</si>
  <si>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</si>
  <si>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</si>
  <si>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</si>
  <si>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</si>
  <si>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</si>
  <si>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</si>
  <si>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</si>
  <si>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</si>
  <si>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</si>
  <si>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</si>
  <si>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</si>
  <si>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</si>
  <si>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</si>
  <si>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</si>
  <si>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</si>
  <si>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</si>
  <si>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</si>
  <si>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</si>
  <si>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</si>
  <si>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</si>
  <si>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</si>
  <si>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</si>
  <si>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</si>
  <si>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</si>
  <si>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</si>
  <si>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</si>
  <si>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</si>
  <si>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</si>
  <si>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</si>
  <si>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</si>
  <si>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</si>
  <si>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</si>
  <si>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</si>
  <si>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</si>
  <si>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</si>
  <si>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</si>
  <si>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</si>
  <si>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</si>
  <si>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</si>
  <si>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</si>
  <si>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</si>
  <si>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</si>
  <si>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</si>
  <si>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</si>
  <si>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</si>
  <si>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</si>
  <si>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</si>
  <si>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</si>
  <si>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</si>
  <si>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</si>
  <si>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</si>
  <si>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</si>
  <si>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</si>
  <si>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</si>
  <si>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</si>
  <si>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</si>
  <si>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</si>
  <si>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</si>
  <si>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</si>
  <si>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</si>
  <si>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</si>
  <si>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</si>
  <si>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</si>
  <si>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</si>
  <si>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</si>
  <si>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</si>
  <si>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</si>
  <si>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</si>
  <si>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</si>
  <si>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</si>
  <si>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</si>
  <si>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</si>
  <si>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</si>
  <si>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</si>
  <si>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</si>
  <si>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</si>
  <si>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</si>
  <si>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</si>
  <si>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</si>
  <si>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</si>
  <si>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</si>
  <si>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</si>
  <si>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</si>
  <si>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</si>
  <si>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</si>
  <si>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</si>
  <si>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</si>
  <si>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</si>
  <si>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</si>
  <si>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</si>
  <si>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</si>
  <si>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</si>
  <si>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</si>
  <si>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</si>
  <si>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</si>
  <si>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</si>
  <si>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</si>
  <si>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</si>
  <si>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</si>
  <si>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</si>
  <si>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</si>
  <si>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</si>
  <si>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</si>
  <si>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</si>
  <si>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</si>
  <si>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</si>
  <si>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</si>
  <si>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</si>
  <si>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</si>
  <si>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</si>
  <si>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</si>
  <si>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</si>
  <si>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</si>
  <si>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</si>
  <si>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</si>
  <si>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</si>
  <si>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</si>
  <si>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</si>
  <si>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</si>
  <si>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</si>
  <si>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</si>
  <si>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</si>
  <si>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</si>
  <si>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</si>
  <si>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</si>
  <si>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</si>
  <si>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</si>
  <si>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</si>
  <si>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</si>
  <si>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</si>
  <si>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</si>
  <si>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</si>
  <si>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</si>
  <si>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</si>
  <si>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</si>
  <si>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</si>
  <si>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</si>
  <si>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</si>
  <si>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</si>
  <si>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</si>
  <si>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</si>
  <si>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</si>
  <si>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</si>
  <si>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</si>
  <si>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</si>
  <si>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</si>
  <si>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</si>
  <si>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</si>
  <si>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</si>
  <si>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</si>
  <si>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</si>
  <si>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</si>
  <si>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</si>
  <si>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</si>
  <si>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</si>
  <si>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</si>
  <si>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</si>
  <si>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</si>
  <si>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</si>
  <si>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</si>
  <si>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</si>
  <si>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</si>
  <si>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</si>
  <si>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</si>
  <si>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</si>
  <si>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</si>
  <si>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</si>
  <si>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</si>
  <si>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</si>
  <si>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</si>
  <si>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</si>
  <si>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</si>
  <si>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</si>
  <si>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</si>
  <si>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</si>
  <si>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</si>
  <si>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</si>
  <si>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</si>
  <si>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</si>
  <si>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</si>
  <si>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</si>
  <si>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</si>
  <si>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</si>
  <si>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</si>
  <si>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</si>
  <si>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</si>
  <si>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</si>
  <si>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</si>
  <si>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</si>
  <si>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</si>
  <si>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</si>
  <si>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</si>
  <si>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</si>
  <si>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</si>
  <si>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</si>
  <si>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</si>
  <si>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</si>
  <si>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</si>
  <si>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</si>
  <si>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</si>
  <si>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</si>
  <si>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</si>
  <si>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</si>
  <si>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</si>
  <si>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</si>
  <si>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</si>
  <si>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</si>
  <si>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</si>
  <si>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</si>
  <si>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</si>
  <si>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</si>
  <si>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</si>
  <si>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</si>
  <si>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</si>
  <si>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</si>
  <si>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</si>
  <si>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</si>
  <si>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</si>
  <si>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</si>
  <si>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</si>
  <si>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</si>
  <si>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</si>
  <si>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</si>
  <si>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</si>
  <si>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</si>
  <si>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</si>
  <si>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</si>
  <si>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</si>
  <si>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</si>
  <si>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</si>
  <si>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</si>
  <si>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</si>
  <si>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</si>
  <si>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</si>
  <si>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</si>
  <si>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</si>
  <si>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</si>
  <si>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</si>
  <si>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</si>
  <si>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</si>
  <si>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</si>
  <si>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</si>
  <si>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</si>
  <si>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</si>
  <si>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</si>
  <si>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</si>
  <si>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</si>
  <si>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</si>
  <si>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</si>
  <si>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</si>
  <si>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</si>
  <si>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</si>
  <si>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</si>
  <si>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</si>
  <si>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</si>
  <si>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</si>
  <si>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</si>
  <si>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</si>
  <si>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</si>
  <si>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</si>
  <si>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</si>
  <si>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</si>
  <si>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</si>
  <si>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</si>
  <si>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</si>
  <si>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</si>
  <si>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</si>
  <si>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</si>
  <si>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</si>
  <si>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</si>
  <si>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</si>
  <si>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</si>
  <si>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</si>
  <si>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</si>
  <si>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</si>
  <si>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</si>
  <si>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</si>
  <si>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</si>
  <si>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</si>
  <si>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</si>
  <si>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</si>
  <si>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</si>
  <si>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</si>
  <si>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</si>
  <si>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</si>
  <si>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</si>
  <si>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</si>
  <si>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</si>
  <si>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</si>
  <si>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</si>
  <si>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</si>
  <si>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</si>
  <si>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</si>
  <si>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</si>
  <si>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</si>
  <si>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</si>
  <si>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</si>
  <si>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</si>
  <si>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</si>
  <si>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</si>
  <si>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</si>
  <si>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</si>
  <si>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</si>
  <si>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</si>
  <si>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</si>
  <si>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</si>
  <si>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</si>
  <si>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</si>
  <si>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</si>
  <si>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</si>
  <si>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</si>
  <si>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</si>
  <si>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</si>
  <si>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</si>
  <si>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</si>
  <si>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</si>
  <si>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</si>
  <si>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</si>
  <si>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</si>
  <si>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</si>
  <si>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</si>
  <si>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</si>
  <si>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</si>
  <si>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</si>
  <si>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</si>
  <si>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</si>
  <si>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</si>
  <si>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</si>
  <si>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</si>
  <si>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</si>
  <si>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</si>
  <si>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</si>
  <si>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</si>
  <si>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</si>
  <si>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</si>
  <si>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</si>
  <si>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</si>
  <si>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</si>
  <si>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</si>
  <si>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</si>
  <si>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</si>
  <si>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</si>
  <si>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</si>
  <si>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</si>
  <si>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</si>
  <si>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</si>
  <si>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</si>
  <si>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</si>
  <si>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</si>
  <si>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</si>
  <si>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</si>
  <si>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</si>
  <si>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</si>
  <si>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</si>
  <si>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</si>
  <si>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</si>
  <si>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</si>
  <si>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</si>
  <si>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</si>
  <si>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</si>
  <si>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</si>
  <si>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</si>
  <si>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</si>
  <si>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</si>
  <si>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</si>
  <si>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</si>
  <si>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</si>
  <si>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</si>
  <si>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</si>
  <si>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</si>
  <si>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</si>
  <si>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</si>
  <si>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</si>
  <si>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</si>
  <si>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</si>
  <si>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</si>
  <si>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</si>
  <si>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</si>
  <si>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</si>
  <si>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</si>
  <si>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</si>
  <si>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</si>
  <si>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</si>
  <si>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</si>
  <si>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</si>
  <si>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</si>
  <si>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</si>
  <si>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</si>
  <si>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</si>
  <si>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</si>
  <si>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</si>
  <si>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</si>
  <si>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</si>
  <si>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</si>
  <si>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</si>
  <si>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</si>
  <si>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</si>
  <si>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</si>
  <si>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</si>
  <si>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</si>
  <si>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</si>
  <si>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</si>
  <si>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</si>
  <si>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</si>
  <si>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</si>
  <si>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</si>
  <si>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</si>
  <si>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</si>
  <si>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</si>
  <si>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</si>
  <si>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</si>
  <si>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</si>
  <si>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</si>
  <si>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</si>
  <si>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</si>
  <si>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</si>
  <si>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</si>
  <si>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</si>
  <si>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</si>
  <si>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</si>
  <si>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</si>
  <si>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</si>
  <si>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</si>
  <si>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</si>
  <si>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</si>
  <si>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</si>
  <si>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</si>
  <si>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</si>
  <si>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</si>
  <si>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</si>
  <si>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</si>
  <si>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</si>
  <si>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</si>
  <si>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</si>
  <si>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</si>
  <si>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</si>
  <si>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</si>
  <si>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</si>
  <si>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</si>
  <si>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</si>
  <si>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</si>
  <si>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</si>
  <si>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</si>
  <si>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</si>
  <si>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</si>
  <si>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</si>
  <si>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</si>
  <si>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</si>
  <si>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</si>
  <si>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</si>
  <si>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</si>
  <si>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</si>
  <si>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</si>
  <si>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</si>
  <si>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</si>
  <si>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</si>
  <si>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</si>
  <si>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</si>
  <si>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</si>
  <si>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</si>
  <si>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</si>
  <si>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</si>
  <si>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</si>
  <si>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</si>
  <si>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</si>
  <si>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</si>
  <si>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</si>
  <si>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</si>
  <si>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</si>
  <si>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</si>
  <si>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</si>
  <si>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</si>
  <si>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</si>
  <si>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</si>
  <si>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</si>
  <si>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</si>
  <si>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</si>
  <si>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</si>
  <si>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</si>
  <si>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</si>
  <si>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</si>
  <si>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</si>
  <si>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</si>
  <si>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</si>
  <si>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</si>
  <si>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</si>
  <si>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</si>
  <si>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</si>
  <si>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</si>
  <si>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</si>
  <si>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</si>
  <si>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</si>
  <si>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</si>
  <si>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</si>
  <si>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</si>
  <si>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</si>
  <si>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</si>
  <si>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</si>
  <si>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</si>
  <si>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</si>
  <si>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</si>
  <si>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</si>
  <si>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</si>
  <si>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</si>
  <si>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</si>
  <si>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</si>
  <si>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</si>
  <si>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</si>
  <si>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</si>
  <si>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</si>
  <si>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</si>
  <si>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</si>
  <si>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</si>
  <si>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</si>
  <si>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</si>
  <si>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</si>
  <si>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</si>
  <si>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</si>
  <si>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</si>
  <si>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</si>
  <si>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</si>
  <si>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</si>
  <si>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</si>
  <si>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</si>
  <si>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</si>
  <si>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</si>
  <si>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</si>
  <si>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</si>
  <si>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</si>
  <si>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</si>
  <si>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</si>
  <si>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</si>
  <si>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</si>
  <si>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</si>
  <si>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</si>
  <si>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</si>
  <si>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</si>
  <si>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</si>
  <si>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</si>
  <si>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</si>
  <si>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</si>
  <si>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</si>
  <si>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</si>
  <si>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</si>
  <si>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</si>
  <si>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</si>
  <si>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</si>
  <si>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</si>
  <si>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</si>
  <si>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</si>
  <si>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</si>
  <si>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</si>
  <si>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</si>
  <si>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</si>
  <si>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</si>
  <si>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</si>
  <si>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</si>
  <si>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</si>
  <si>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</si>
  <si>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</si>
  <si>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</si>
  <si>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</si>
  <si>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</si>
  <si>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</si>
  <si>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</si>
  <si>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</si>
  <si>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</si>
  <si>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</si>
  <si>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</si>
  <si>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</si>
  <si>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</si>
  <si>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</si>
  <si>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</si>
  <si>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</si>
  <si>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</si>
  <si>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</si>
  <si>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</si>
  <si>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</si>
  <si>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</si>
  <si>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</si>
  <si>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</si>
  <si>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</si>
  <si>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</si>
  <si>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</si>
  <si>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</si>
  <si>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</si>
  <si>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</si>
  <si>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</si>
  <si>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</si>
  <si>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</si>
  <si>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</si>
  <si>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</si>
  <si>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</si>
  <si>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</si>
  <si>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</si>
  <si>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</si>
  <si>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</si>
  <si>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</si>
  <si>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</si>
  <si>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</si>
  <si>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MEDIUM</t>
  </si>
  <si>
    <t>VERY HIGH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</si>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</sst>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pivotCacheDefinition" Target="pivotCache/pivotCacheDefinition1.xml" /><Relationship Id="rId7" Type="http://schemas.openxmlformats.org/officeDocument/2006/relationships/sheetMetadata" Target="metadata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[rakshitha excel recent.xlsm]Sheet1!PivotTable1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4">
                  <c:v>1</c:v>
                </c:pt>
                <c:pt idx="5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C-42DC-93ED-CAEC0AB9BE26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C-42DC-93ED-CAEC0AB9BE26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2C-42DC-93ED-CAEC0AB9BE26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7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2C-42DC-93ED-CAEC0AB9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0312304"/>
        <c:axId val="1080306064"/>
        <c:axId val="0"/>
      </c:bar3DChart>
      <c:catAx>
        <c:axId val="108031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06064"/>
        <c:crosses val="autoZero"/>
        <c:auto val="1"/>
        <c:lblAlgn val="ctr"/>
        <c:lblOffset val="100"/>
        <c:noMultiLvlLbl val="0"/>
      </c:catAx>
      <c:valAx>
        <c:axId val="108030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1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259080</xdr:colOff>
      <xdr:row>3</xdr:row>
      <xdr:rowOff>76200</xdr:rowOff>
    </xdr:from>
    <xdr:to>
      <xdr:col>14</xdr:col>
      <xdr:colOff>563880</xdr:colOff>
      <xdr:row>17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6D2403-9D6B-D2E5-9619-7ADDFBA41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pika Kk" refreshedDate="45529.9123875" createdVersion="8" refreshedVersion="8" minRefreshableVersion="3" recordCount="3000" xr:uid="{63E9DF5C-07EA-4E2F-84BE-58C6BA0B9AD4}">
  <cacheSource type="worksheet">
    <worksheetSource ref="A1:AA3001" sheet="employee_data (1)"/>
  </cacheSource>
  <cacheFields count="27">
    <cacheField name="EmpID" numFmtId="0">
      <sharedItems containsMixedTypes="1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/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/>
    </cacheField>
    <cacheField name="Current Employee Rating" numFmtId="0">
      <sharedItems containsSemiMixedTypes="0" containsString="0" containsNumber="1" containsInteger="1" minValue="1" maxValue="5"/>
    </cacheField>
    <cacheField name="Performance level" numFmtId="0">
      <sharedItems containsBlank="1" count="5">
        <s v="HIGH"/>
        <s v="MEDIUM"/>
        <s v="LOW"/>
        <s v="VERY HIG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s v="EmpID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s v="EmpID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1"/>
  </r>
  <r>
    <s v="EmpID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s v="EmpID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2"/>
  </r>
  <r>
    <s v="EmpID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1"/>
  </r>
  <r>
    <s v="EmpID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1"/>
  </r>
  <r>
    <s v="EmpID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0"/>
  </r>
  <r>
    <s v="EmpID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s v="EmpID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1"/>
  </r>
  <r>
    <s v="EmpID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s v="EmpID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3"/>
  </r>
  <r>
    <s v="EmpID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1"/>
  </r>
  <r>
    <s v="EmpID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1"/>
  </r>
  <r>
    <s v="EmpID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1"/>
  </r>
  <r>
    <s v="EmpID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s v="EmpID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s v="EmpID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1"/>
  </r>
  <r>
    <s v="EmpID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1"/>
  </r>
  <r>
    <s v="EmpID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s v="EmpID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2"/>
  </r>
  <r>
    <s v="EmpID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1"/>
  </r>
  <r>
    <s v="EmpID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1"/>
  </r>
  <r>
    <s v="EmpID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s v="EmpID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s v="EmpID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1"/>
  </r>
  <r>
    <s v="EmpID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2"/>
  </r>
  <r>
    <s v="EmpID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s v="EmpID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s v="EmpID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0"/>
  </r>
  <r>
    <s v="EmpID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1"/>
  </r>
  <r>
    <s v="EmpID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1"/>
  </r>
  <r>
    <s v="EmpID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1"/>
  </r>
  <r>
    <s v="EmpID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s v="EmpID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1"/>
  </r>
  <r>
    <s v="EmpID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s v="EmpID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1"/>
  </r>
  <r>
    <s v="EmpID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s v="EmpID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s v="EmpID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1"/>
  </r>
  <r>
    <s v="EmpID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0"/>
  </r>
  <r>
    <s v="EmpID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2"/>
  </r>
  <r>
    <s v="EmpID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s v="EmpID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1"/>
  </r>
  <r>
    <s v="EmpID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1"/>
  </r>
  <r>
    <s v="EmpID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s v="EmpID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s v="EmpID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2"/>
  </r>
  <r>
    <s v="EmpID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2"/>
  </r>
  <r>
    <s v="EmpID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s v="EmpID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s v="EmpID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2"/>
  </r>
  <r>
    <s v="EmpID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s v="EmpID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s v="EmpID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s v="EmpID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0"/>
  </r>
  <r>
    <s v="EmpID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s v="EmpID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2"/>
  </r>
  <r>
    <s v="EmpID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s v="EmpID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3"/>
  </r>
  <r>
    <s v="EmpID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0"/>
  </r>
  <r>
    <s v="EmpID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s v="EmpID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2"/>
  </r>
  <r>
    <s v="EmpID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2"/>
  </r>
  <r>
    <s v="EmpID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2"/>
  </r>
  <r>
    <s v="EmpID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3"/>
  </r>
  <r>
    <s v="EmpID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2"/>
  </r>
  <r>
    <s v="EmpID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3"/>
  </r>
  <r>
    <s v="EmpID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s v="EmpID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0"/>
  </r>
  <r>
    <s v="EmpID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3"/>
  </r>
  <r>
    <s v="EmpID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2"/>
  </r>
  <r>
    <s v="EmpID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s v="EmpID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s v="EmpID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s v="EmpID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0"/>
  </r>
  <r>
    <s v="EmpID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2"/>
  </r>
  <r>
    <s v="EmpID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s v="EmpID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2"/>
  </r>
  <r>
    <s v="EmpID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2"/>
  </r>
  <r>
    <s v="EmpID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s v="EmpID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0"/>
  </r>
  <r>
    <s v="EmpID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3"/>
  </r>
  <r>
    <s v="EmpID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2"/>
  </r>
  <r>
    <s v="EmpID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2"/>
  </r>
  <r>
    <s v="EmpID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0"/>
  </r>
  <r>
    <s v="EmpID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s v="EmpID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s v="EmpID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2"/>
  </r>
  <r>
    <s v="EmpID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0"/>
  </r>
  <r>
    <s v="EmpID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s v="EmpID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s v="EmpID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s v="EmpID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s v="EmpID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s v="EmpID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s v="EmpID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2"/>
  </r>
  <r>
    <s v="EmpID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s v="EmpID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s v="EmpID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4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4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4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4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4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4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4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4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4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4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4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4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4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4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4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4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4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4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4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4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4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4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4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4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4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4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4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4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4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4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4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4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4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4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4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4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4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4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4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4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4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4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4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4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4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4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4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4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4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4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4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4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4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4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4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4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4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4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4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4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4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4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4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4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4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4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4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4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4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4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4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4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4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4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4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4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4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4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4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4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4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4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4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4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4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4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4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4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4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4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4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4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4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4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4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4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4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4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4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4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4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4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4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4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4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4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4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4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4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4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4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4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4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4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4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4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4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4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4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4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4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4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4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4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4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4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4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4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4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4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4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4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4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4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4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4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4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4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4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4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4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4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4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4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4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4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4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4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4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4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4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4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4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4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4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4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4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4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4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4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4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4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4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4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4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4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4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4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4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4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4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4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4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4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4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4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4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4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4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4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4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4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4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4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4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4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4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4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4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4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4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4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4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4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4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4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4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4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4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4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4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4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4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4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4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4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4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4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4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4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4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4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4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4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4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4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4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4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4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4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4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4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4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4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4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4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4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4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4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4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4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4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4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4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4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4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4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4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4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4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4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4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4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4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4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4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4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4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4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4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4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4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4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4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4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4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4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4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4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4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4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4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4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4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4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4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4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4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4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4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4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4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4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4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4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4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4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4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4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4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4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4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4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4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4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4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4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4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4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4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4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4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4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4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4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4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4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4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4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4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4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4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4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4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4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4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4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4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4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4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4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4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4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4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4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4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4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4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4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4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4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4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4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4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4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4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4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4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4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4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4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4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4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4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4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4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4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4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4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4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4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4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4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4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4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4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4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4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4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4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4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4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4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4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4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4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4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4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4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4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4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4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4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4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4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4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4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4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4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4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4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4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4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4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4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4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4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4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4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4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4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4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4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4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4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4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4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4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4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4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4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4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4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4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4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4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4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4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4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4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4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4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4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4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4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4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4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4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4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4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4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4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4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4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4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4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4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4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4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4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4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4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4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4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4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4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4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4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4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4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4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4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4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4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4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4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4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4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4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4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4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4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4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4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4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4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4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4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4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4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4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4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4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4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4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4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4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4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4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4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4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4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4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4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4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4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4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4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4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4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4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4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4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4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4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4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4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4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4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4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4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4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4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4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4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4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4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4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4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4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4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4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4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4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4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4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4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4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4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4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4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4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4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4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4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4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4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4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4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4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4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4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4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4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4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4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4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4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4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4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4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4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4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4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4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4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4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4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4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4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4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4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4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4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4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4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4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4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4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4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4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4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4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4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4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4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4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4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4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4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4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4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4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4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4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4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4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4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4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4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4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4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4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4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4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4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4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4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4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4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4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4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4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4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4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4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4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4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4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4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4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4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4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4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4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4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4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4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4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4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4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4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4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4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4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4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4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4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4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4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4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4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4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4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4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4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4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4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4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4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4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4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4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4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4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4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4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4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4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4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4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4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4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4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4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4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4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4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4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4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4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4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4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4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4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4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4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4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4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4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4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4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4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4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4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4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4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4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4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4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4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4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4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4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4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4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4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4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4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4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4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4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4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4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4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4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4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4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4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4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4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4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4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4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4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4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4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4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4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4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4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4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4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4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4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4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4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4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4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4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4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4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4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4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4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4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4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4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4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4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4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4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4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4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4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4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4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4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4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4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4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4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4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4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4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4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4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4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4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4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4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4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4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4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4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4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4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4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4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4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4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4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4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4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4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4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4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4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4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4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4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4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4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4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4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4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4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4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4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4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4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4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4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4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4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4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4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4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4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4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4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4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4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4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4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4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4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4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4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4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4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4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4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4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4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4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4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4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4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4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4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4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4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4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4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4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4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4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4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4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4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4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4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4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4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4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4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4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4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4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4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4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4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4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4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4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4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4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4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4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4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4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4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4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4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4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4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4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4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4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4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4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4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4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4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4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4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4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4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4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4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4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4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4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4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4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4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4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4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4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4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4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4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4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4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4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4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4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4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4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4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4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4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4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4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4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4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4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4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4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4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4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4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4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4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4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4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4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4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4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4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4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4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4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4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4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4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4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4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4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4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4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4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4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4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4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4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4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4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4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4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4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4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4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4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4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4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4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4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4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4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4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4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4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4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4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4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4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4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4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4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4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4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4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4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4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4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4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4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4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4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4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4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4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4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4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4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4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4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4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4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4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4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4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4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4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4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4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4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4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4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4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4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4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4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4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4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4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4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4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4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4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4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4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4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4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4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4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4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4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4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4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4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4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4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4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4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4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4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4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4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4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4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4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4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4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4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4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4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4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4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4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4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4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4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4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4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4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4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4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4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4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4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4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4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4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4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4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4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4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4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4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4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4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4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4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4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4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4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4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4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4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4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4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4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4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4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4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4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4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4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4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4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4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4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4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4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4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4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4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4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4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4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4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4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4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4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4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4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4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4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4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4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4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4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4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4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4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4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4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4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4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4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4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4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4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4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4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4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4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4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4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4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4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4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4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4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4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4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4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4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4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4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4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4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4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4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4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4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4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4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4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4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4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4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4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4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4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4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4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4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4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4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4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4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4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4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4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4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4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4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4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4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4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4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4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4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4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4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4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4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4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4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4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4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4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4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4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4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4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4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4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4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4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4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4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4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4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4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4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4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4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4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4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4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4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4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4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4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4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4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4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4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4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4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4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4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4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4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4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4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4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4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4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4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4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4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4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4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4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4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4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4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4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4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4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4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4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4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4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4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4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4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4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4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4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4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4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4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4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4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4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4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4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4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4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4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4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4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4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4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4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4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4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4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4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4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4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4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4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4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4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4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4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4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4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4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4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4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4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4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4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4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4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4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4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4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4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4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4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4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4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4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4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4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4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4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4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4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4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4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4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4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4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4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4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4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4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4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4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4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4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4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4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4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4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4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4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4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4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4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4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4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4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4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4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4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4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4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4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4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4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4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4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4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4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4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4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4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4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4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4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4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4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4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4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4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4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4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4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4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4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4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4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4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4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4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4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4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4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4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4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4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4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4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4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4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4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4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4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4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4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4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4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4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4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4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4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4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4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4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4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4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4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4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4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4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4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4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4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4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4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4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4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4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4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4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4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4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4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4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4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4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4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4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4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4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4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4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4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4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4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4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4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4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4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4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4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4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4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4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4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4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4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4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4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4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4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4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4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4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4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4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4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4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4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4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4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4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4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4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4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4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4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4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4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4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4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4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4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4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4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4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4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4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4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4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4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4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4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4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4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4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4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4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4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4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4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4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4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4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4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4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4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4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4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4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4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4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4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4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4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4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4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4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4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4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4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4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4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4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4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4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4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4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4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4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4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4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4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4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4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4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4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4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4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4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4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4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4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4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4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4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4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4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4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4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4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4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4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4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4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4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4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4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4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4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4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4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4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4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4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4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4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4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4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4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4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4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4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4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4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4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4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4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4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4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4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4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4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4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4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4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4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4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4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4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4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4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4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4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4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4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4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4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4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4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4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4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4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4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4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4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4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4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4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4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4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4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4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4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4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4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4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4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4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4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4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4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4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4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4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4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4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4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4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4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4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4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4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4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4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4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4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4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4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4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4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4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4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4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4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4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4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4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4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4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4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4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4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4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4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4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4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4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4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4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4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4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4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4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4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4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4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4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4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4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4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4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4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4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4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4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4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4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4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4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4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4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4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4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4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4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4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4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4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4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4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4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4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4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4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4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4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4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4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4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4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4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4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4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4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4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4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4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4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4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4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4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4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4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4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4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4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4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4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4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4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4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4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4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4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4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4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4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4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4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4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4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4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4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4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4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4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4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4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4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4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4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4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4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4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4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4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4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4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4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4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4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4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4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4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4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4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4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4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4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4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4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4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4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4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4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4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4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4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4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4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4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4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4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4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4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4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4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4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4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4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4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4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4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4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4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4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4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4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4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4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4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4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4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4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4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4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4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4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4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4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4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4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4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4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4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4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4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4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4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4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4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4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4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4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4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4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4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4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4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4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4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4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4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4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4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4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4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4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4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4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4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4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4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4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4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4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4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4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4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4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4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4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1F1FF-0E3D-4053-92DE-4DAE314B6494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3:F15" firstHeaderRow="1" firstDataRow="2" firstDataCol="1" rowPageCount="1" colPageCount="1"/>
  <pivotFields count="27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0"/>
        <item x="2"/>
        <item x="1"/>
        <item x="3"/>
        <item h="1" x="4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item="0" hier="-1"/>
  </pageFields>
  <dataFields count="1">
    <dataField name="Count of FirstName" fld="1" subtotal="count" baseField="0" baseItem="0"/>
  </dataFields>
  <chartFormats count="4"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Relationship Id="rId1" Type="http://schemas.openxmlformats.org/officeDocument/2006/relationships/pivotTable" Target="../pivotTables/pivotTable1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4594-8819-44A7-8686-FD6032D4D5C0}">
  <dimension ref="A1:F15"/>
  <sheetViews>
    <sheetView zoomScaleNormal="100" workbookViewId="0">
      <selection activeCell="A4" sqref="A4"/>
    </sheetView>
  </sheetViews>
  <sheetFormatPr defaultRowHeight="15" x14ac:dyDescent="0.2"/>
  <cols>
    <col min="1" max="1" width="17.484375" bestFit="1" customWidth="1"/>
    <col min="2" max="2" width="15.6015625" bestFit="1" customWidth="1"/>
    <col min="3" max="3" width="4.9765625" bestFit="1" customWidth="1"/>
    <col min="4" max="4" width="8.609375" bestFit="1" customWidth="1"/>
    <col min="5" max="5" width="9.953125" bestFit="1" customWidth="1"/>
    <col min="6" max="7" width="10.76171875" bestFit="1" customWidth="1"/>
  </cols>
  <sheetData>
    <row r="1" spans="1:6" x14ac:dyDescent="0.2">
      <c r="A1" s="4" t="s">
        <v>20</v>
      </c>
      <c r="B1" t="s">
        <v>41</v>
      </c>
    </row>
    <row r="3" spans="1:6" x14ac:dyDescent="0.2">
      <c r="A3" s="4" t="s">
        <v>10309</v>
      </c>
      <c r="B3" s="4" t="s">
        <v>10304</v>
      </c>
    </row>
    <row r="4" spans="1:6" x14ac:dyDescent="0.2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2">
      <c r="A5" s="5" t="s">
        <v>88</v>
      </c>
      <c r="B5">
        <v>1</v>
      </c>
      <c r="C5">
        <v>3</v>
      </c>
      <c r="D5">
        <v>2</v>
      </c>
      <c r="F5">
        <v>6</v>
      </c>
    </row>
    <row r="6" spans="1:6" x14ac:dyDescent="0.2">
      <c r="A6" s="5" t="s">
        <v>31</v>
      </c>
      <c r="B6">
        <v>1</v>
      </c>
      <c r="C6">
        <v>3</v>
      </c>
      <c r="D6">
        <v>2</v>
      </c>
      <c r="F6">
        <v>6</v>
      </c>
    </row>
    <row r="7" spans="1:6" x14ac:dyDescent="0.2">
      <c r="A7" s="5" t="s">
        <v>49</v>
      </c>
      <c r="C7">
        <v>1</v>
      </c>
      <c r="F7">
        <v>1</v>
      </c>
    </row>
    <row r="8" spans="1:6" x14ac:dyDescent="0.2">
      <c r="A8" s="5" t="s">
        <v>138</v>
      </c>
      <c r="C8">
        <v>2</v>
      </c>
      <c r="D8">
        <v>1</v>
      </c>
      <c r="F8">
        <v>3</v>
      </c>
    </row>
    <row r="9" spans="1:6" x14ac:dyDescent="0.2">
      <c r="A9" s="5" t="s">
        <v>117</v>
      </c>
      <c r="B9">
        <v>1</v>
      </c>
      <c r="C9">
        <v>3</v>
      </c>
      <c r="D9">
        <v>1</v>
      </c>
      <c r="F9">
        <v>5</v>
      </c>
    </row>
    <row r="10" spans="1:6" x14ac:dyDescent="0.2">
      <c r="A10" s="5" t="s">
        <v>61</v>
      </c>
      <c r="B10">
        <v>1</v>
      </c>
      <c r="C10">
        <v>1</v>
      </c>
      <c r="D10">
        <v>2</v>
      </c>
      <c r="F10">
        <v>4</v>
      </c>
    </row>
    <row r="11" spans="1:6" x14ac:dyDescent="0.2">
      <c r="A11" s="5" t="s">
        <v>167</v>
      </c>
      <c r="C11">
        <v>3</v>
      </c>
      <c r="F11">
        <v>3</v>
      </c>
    </row>
    <row r="12" spans="1:6" x14ac:dyDescent="0.2">
      <c r="A12" s="5" t="s">
        <v>132</v>
      </c>
      <c r="E12">
        <v>1</v>
      </c>
      <c r="F12">
        <v>1</v>
      </c>
    </row>
    <row r="13" spans="1:6" x14ac:dyDescent="0.2">
      <c r="A13" s="5" t="s">
        <v>79</v>
      </c>
      <c r="C13">
        <v>2</v>
      </c>
      <c r="D13">
        <v>1</v>
      </c>
      <c r="F13">
        <v>3</v>
      </c>
    </row>
    <row r="14" spans="1:6" x14ac:dyDescent="0.2">
      <c r="A14" s="5" t="s">
        <v>97</v>
      </c>
      <c r="B14">
        <v>3</v>
      </c>
      <c r="C14">
        <v>2</v>
      </c>
      <c r="E14">
        <v>1</v>
      </c>
      <c r="F14">
        <v>6</v>
      </c>
    </row>
    <row r="15" spans="1:6" x14ac:dyDescent="0.2">
      <c r="A15" s="5" t="s">
        <v>10303</v>
      </c>
      <c r="B15">
        <v>7</v>
      </c>
      <c r="C15">
        <v>20</v>
      </c>
      <c r="D15">
        <v>9</v>
      </c>
      <c r="E15">
        <v>2</v>
      </c>
      <c r="F15">
        <v>38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74FD-B25C-41B8-9574-6D4CA3492189}">
  <dimension ref="A1:AA3001"/>
  <sheetViews>
    <sheetView tabSelected="1" topLeftCell="H78" workbookViewId="0">
      <selection activeCell="T104" sqref="T104"/>
    </sheetView>
  </sheetViews>
  <sheetFormatPr defaultRowHeight="15" x14ac:dyDescent="0.2"/>
  <cols>
    <col min="22" max="22" width="8.875" style="3"/>
  </cols>
  <sheetData>
    <row r="1" spans="1:27" x14ac:dyDescent="0.2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s="6" t="s">
        <v>19</v>
      </c>
      <c r="U1" s="6" t="s">
        <v>20</v>
      </c>
      <c r="V1" s="3" t="s">
        <v>21</v>
      </c>
      <c r="W1" t="s">
        <v>22</v>
      </c>
      <c r="X1" t="s">
        <v>23</v>
      </c>
      <c r="Y1" t="s">
        <v>24</v>
      </c>
      <c r="Z1" s="6" t="s">
        <v>25</v>
      </c>
      <c r="AA1" s="6" t="s">
        <v>10301</v>
      </c>
    </row>
    <row r="2" spans="1:27" x14ac:dyDescent="0.2">
      <c r="A2" s="6" t="s">
        <v>0</v>
      </c>
      <c r="B2" s="6" t="s">
        <v>26</v>
      </c>
      <c r="C2" s="6" t="s">
        <v>27</v>
      </c>
      <c r="D2" s="1">
        <v>43728</v>
      </c>
      <c r="F2" t="s">
        <v>28</v>
      </c>
      <c r="G2" t="s">
        <v>29</v>
      </c>
      <c r="H2" t="s">
        <v>30</v>
      </c>
      <c r="I2" s="6" t="s">
        <v>31</v>
      </c>
      <c r="J2" s="6" t="s">
        <v>32</v>
      </c>
      <c r="K2" s="6" t="s">
        <v>33</v>
      </c>
      <c r="L2" s="6" t="s">
        <v>34</v>
      </c>
      <c r="M2" s="6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s="6" t="s">
        <v>40</v>
      </c>
      <c r="U2" s="6" t="s">
        <v>41</v>
      </c>
      <c r="V2" s="3">
        <v>34904</v>
      </c>
      <c r="W2" t="s">
        <v>42</v>
      </c>
      <c r="X2" t="s">
        <v>43</v>
      </c>
      <c r="Y2" t="s">
        <v>44</v>
      </c>
      <c r="Z2" s="6">
        <v>4</v>
      </c>
      <c r="AA2" s="6" t="str" cm="1">
        <f t="array" ref="AA2">_xlfn.IFS(Z2&gt;=5,"VERY HIGH",Z2&gt;=4,"HIGH",Z2&gt;=3,"MEDIUM",TRUE,"LOW")</f>
        <v>HIGH</v>
      </c>
    </row>
    <row r="3" spans="1:27" x14ac:dyDescent="0.2">
      <c r="A3" s="6" t="s">
        <v>0</v>
      </c>
      <c r="B3" s="6" t="s">
        <v>45</v>
      </c>
      <c r="C3" s="6" t="s">
        <v>46</v>
      </c>
      <c r="D3" s="1">
        <v>44968</v>
      </c>
      <c r="F3" t="s">
        <v>28</v>
      </c>
      <c r="G3" t="s">
        <v>47</v>
      </c>
      <c r="H3" t="s">
        <v>48</v>
      </c>
      <c r="I3" s="6" t="s">
        <v>49</v>
      </c>
      <c r="J3" s="6" t="s">
        <v>32</v>
      </c>
      <c r="K3" s="6" t="s">
        <v>33</v>
      </c>
      <c r="L3" s="6" t="s">
        <v>50</v>
      </c>
      <c r="M3" s="6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s="6" t="s">
        <v>53</v>
      </c>
      <c r="U3" s="6" t="s">
        <v>54</v>
      </c>
      <c r="V3" s="3">
        <v>6593</v>
      </c>
      <c r="W3" t="s">
        <v>55</v>
      </c>
      <c r="X3" t="s">
        <v>43</v>
      </c>
      <c r="Y3" t="s">
        <v>44</v>
      </c>
      <c r="Z3" s="6">
        <v>3</v>
      </c>
      <c r="AA3" s="6" t="str" cm="1">
        <f t="array" ref="AA3">_xlfn.IFS(Z3&gt;=5,"VERY HIGH",Z3&gt;=4,"HIGH",Z3&gt;=3,"MEDIUM",TRUE,"LOW")</f>
        <v>MEDIUM</v>
      </c>
    </row>
    <row r="4" spans="1:27" x14ac:dyDescent="0.2">
      <c r="A4" s="6" t="s">
        <v>0</v>
      </c>
      <c r="B4" s="6" t="s">
        <v>56</v>
      </c>
      <c r="C4" s="6" t="s">
        <v>57</v>
      </c>
      <c r="D4" s="1">
        <v>43444</v>
      </c>
      <c r="F4" t="s">
        <v>58</v>
      </c>
      <c r="G4" t="s">
        <v>59</v>
      </c>
      <c r="H4" t="s">
        <v>60</v>
      </c>
      <c r="I4" s="6" t="s">
        <v>61</v>
      </c>
      <c r="J4" s="6" t="s">
        <v>32</v>
      </c>
      <c r="K4" s="6" t="s">
        <v>62</v>
      </c>
      <c r="L4" s="6" t="s">
        <v>63</v>
      </c>
      <c r="M4" s="6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s="6" t="s">
        <v>66</v>
      </c>
      <c r="U4" s="6" t="s">
        <v>54</v>
      </c>
      <c r="V4" s="3">
        <v>2330</v>
      </c>
      <c r="W4" t="s">
        <v>55</v>
      </c>
      <c r="X4" t="s">
        <v>43</v>
      </c>
      <c r="Y4" t="s">
        <v>44</v>
      </c>
      <c r="Z4" s="6">
        <v>4</v>
      </c>
      <c r="AA4" s="6" t="str" cm="1">
        <f t="array" ref="AA4">_xlfn.IFS(Z4&gt;=5,"VERY HIGH",Z4&gt;=4,"HIGH",Z4&gt;=3,"MEDIUM",TRUE,"LOW")</f>
        <v>HIGH</v>
      </c>
    </row>
    <row r="5" spans="1:27" x14ac:dyDescent="0.2">
      <c r="A5" s="6" t="s">
        <v>0</v>
      </c>
      <c r="B5" s="6" t="s">
        <v>67</v>
      </c>
      <c r="C5" s="6" t="s">
        <v>68</v>
      </c>
      <c r="D5" s="1">
        <v>44368</v>
      </c>
      <c r="F5" t="s">
        <v>58</v>
      </c>
      <c r="G5" t="s">
        <v>69</v>
      </c>
      <c r="H5" t="s">
        <v>70</v>
      </c>
      <c r="I5" s="6" t="s">
        <v>31</v>
      </c>
      <c r="J5" s="6" t="s">
        <v>32</v>
      </c>
      <c r="K5" s="6" t="s">
        <v>33</v>
      </c>
      <c r="L5" s="6" t="s">
        <v>50</v>
      </c>
      <c r="M5" s="6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s="6" t="s">
        <v>72</v>
      </c>
      <c r="U5" s="6" t="s">
        <v>54</v>
      </c>
      <c r="V5" s="3">
        <v>58782</v>
      </c>
      <c r="W5" t="s">
        <v>73</v>
      </c>
      <c r="X5" t="s">
        <v>74</v>
      </c>
      <c r="Y5" t="s">
        <v>44</v>
      </c>
      <c r="Z5" s="6">
        <v>2</v>
      </c>
      <c r="AA5" s="6" t="str" cm="1">
        <f t="array" ref="AA5">_xlfn.IFS(Z5&gt;=5,"VERY HIGH",Z5&gt;=4,"HIGH",Z5&gt;=3,"MEDIUM",TRUE,"LOW")</f>
        <v>LOW</v>
      </c>
    </row>
    <row r="6" spans="1:27" x14ac:dyDescent="0.2">
      <c r="A6" s="6" t="s">
        <v>0</v>
      </c>
      <c r="B6" s="6" t="s">
        <v>75</v>
      </c>
      <c r="C6" s="6" t="s">
        <v>76</v>
      </c>
      <c r="D6" s="1">
        <v>43645</v>
      </c>
      <c r="F6" t="s">
        <v>58</v>
      </c>
      <c r="G6" t="s">
        <v>77</v>
      </c>
      <c r="H6" t="s">
        <v>78</v>
      </c>
      <c r="I6" s="6" t="s">
        <v>79</v>
      </c>
      <c r="J6" s="6" t="s">
        <v>32</v>
      </c>
      <c r="K6" s="6" t="s">
        <v>33</v>
      </c>
      <c r="L6" s="6" t="s">
        <v>50</v>
      </c>
      <c r="M6" s="6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s="6" t="s">
        <v>82</v>
      </c>
      <c r="U6" s="6" t="s">
        <v>41</v>
      </c>
      <c r="V6" s="3">
        <v>33174</v>
      </c>
      <c r="W6" t="s">
        <v>73</v>
      </c>
      <c r="X6" t="s">
        <v>83</v>
      </c>
      <c r="Y6" t="s">
        <v>44</v>
      </c>
      <c r="Z6" s="6">
        <v>3</v>
      </c>
      <c r="AA6" s="6" t="str" cm="1">
        <f t="array" ref="AA6">_xlfn.IFS(Z6&gt;=5,"VERY HIGH",Z6&gt;=4,"HIGH",Z6&gt;=3,"MEDIUM",TRUE,"LOW")</f>
        <v>MEDIUM</v>
      </c>
    </row>
    <row r="7" spans="1:27" x14ac:dyDescent="0.2">
      <c r="A7" s="6" t="s">
        <v>0</v>
      </c>
      <c r="B7" s="6" t="s">
        <v>84</v>
      </c>
      <c r="C7" s="6" t="s">
        <v>85</v>
      </c>
      <c r="D7" s="1">
        <v>43847</v>
      </c>
      <c r="F7" t="s">
        <v>58</v>
      </c>
      <c r="G7" t="s">
        <v>86</v>
      </c>
      <c r="H7" t="s">
        <v>87</v>
      </c>
      <c r="I7" s="6" t="s">
        <v>88</v>
      </c>
      <c r="J7" s="6" t="s">
        <v>32</v>
      </c>
      <c r="K7" s="6" t="s">
        <v>33</v>
      </c>
      <c r="L7" s="6" t="s">
        <v>63</v>
      </c>
      <c r="M7" s="6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s="6" t="s">
        <v>91</v>
      </c>
      <c r="U7" s="6" t="s">
        <v>54</v>
      </c>
      <c r="V7" s="3">
        <v>6050</v>
      </c>
      <c r="W7" t="s">
        <v>92</v>
      </c>
      <c r="X7" t="s">
        <v>83</v>
      </c>
      <c r="Y7" t="s">
        <v>44</v>
      </c>
      <c r="Z7" s="6">
        <v>3</v>
      </c>
      <c r="AA7" s="6" t="str" cm="1">
        <f t="array" ref="AA7">_xlfn.IFS(Z7&gt;=5,"VERY HIGH",Z7&gt;=4,"HIGH",Z7&gt;=3,"MEDIUM",TRUE,"LOW")</f>
        <v>MEDIUM</v>
      </c>
    </row>
    <row r="8" spans="1:27" x14ac:dyDescent="0.2">
      <c r="A8" s="6" t="s">
        <v>0</v>
      </c>
      <c r="B8" s="6" t="s">
        <v>93</v>
      </c>
      <c r="C8" s="6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6" t="s">
        <v>97</v>
      </c>
      <c r="J8" s="6" t="s">
        <v>32</v>
      </c>
      <c r="K8" s="6" t="s">
        <v>62</v>
      </c>
      <c r="L8" s="6" t="s">
        <v>63</v>
      </c>
      <c r="M8" s="6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s="6" t="s">
        <v>102</v>
      </c>
      <c r="U8" s="6" t="s">
        <v>41</v>
      </c>
      <c r="V8" s="3">
        <v>90007</v>
      </c>
      <c r="W8" t="s">
        <v>55</v>
      </c>
      <c r="X8" t="s">
        <v>103</v>
      </c>
      <c r="Y8" t="s">
        <v>104</v>
      </c>
      <c r="Z8" s="6">
        <v>4</v>
      </c>
      <c r="AA8" s="6" t="str" cm="1">
        <f t="array" ref="AA8">_xlfn.IFS(Z8&gt;=5,"VERY HIGH",Z8&gt;=4,"HIGH",Z8&gt;=3,"MEDIUM",TRUE,"LOW")</f>
        <v>HIGH</v>
      </c>
    </row>
    <row r="9" spans="1:27" x14ac:dyDescent="0.2">
      <c r="A9" s="6" t="s">
        <v>0</v>
      </c>
      <c r="B9" s="6" t="s">
        <v>105</v>
      </c>
      <c r="C9" s="6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6" t="s">
        <v>31</v>
      </c>
      <c r="J9" s="6" t="s">
        <v>32</v>
      </c>
      <c r="K9" s="6" t="s">
        <v>33</v>
      </c>
      <c r="L9" s="6" t="s">
        <v>34</v>
      </c>
      <c r="M9" s="6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s="6" t="s">
        <v>112</v>
      </c>
      <c r="U9" s="6" t="s">
        <v>41</v>
      </c>
      <c r="V9" s="3">
        <v>97756</v>
      </c>
      <c r="W9" t="s">
        <v>42</v>
      </c>
      <c r="X9" t="s">
        <v>103</v>
      </c>
      <c r="Y9" t="s">
        <v>44</v>
      </c>
      <c r="Z9" s="6">
        <v>2</v>
      </c>
      <c r="AA9" s="6" t="str" cm="1">
        <f t="array" ref="AA9">_xlfn.IFS(Z9&gt;=5,"VERY HIGH",Z9&gt;=4,"HIGH",Z9&gt;=3,"MEDIUM",TRUE,"LOW")</f>
        <v>LOW</v>
      </c>
    </row>
    <row r="10" spans="1:27" x14ac:dyDescent="0.2">
      <c r="A10" s="6" t="s">
        <v>0</v>
      </c>
      <c r="B10" s="6" t="s">
        <v>113</v>
      </c>
      <c r="C10" s="6" t="s">
        <v>114</v>
      </c>
      <c r="D10" s="1">
        <v>43330</v>
      </c>
      <c r="F10" t="s">
        <v>58</v>
      </c>
      <c r="G10" t="s">
        <v>115</v>
      </c>
      <c r="H10" t="s">
        <v>116</v>
      </c>
      <c r="I10" s="6" t="s">
        <v>117</v>
      </c>
      <c r="J10" s="6" t="s">
        <v>32</v>
      </c>
      <c r="K10" s="6" t="s">
        <v>33</v>
      </c>
      <c r="L10" s="6" t="s">
        <v>63</v>
      </c>
      <c r="M10" s="6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s="6" t="s">
        <v>120</v>
      </c>
      <c r="U10" s="6" t="s">
        <v>54</v>
      </c>
      <c r="V10" s="3">
        <v>78789</v>
      </c>
      <c r="W10" t="s">
        <v>92</v>
      </c>
      <c r="X10" t="s">
        <v>43</v>
      </c>
      <c r="Y10" t="s">
        <v>104</v>
      </c>
      <c r="Z10" s="6">
        <v>3</v>
      </c>
      <c r="AA10" s="6" t="str" cm="1">
        <f t="array" ref="AA10">_xlfn.IFS(Z10&gt;=5,"VERY HIGH",Z10&gt;=4,"HIGH",Z10&gt;=3,"MEDIUM",TRUE,"LOW")</f>
        <v>MEDIUM</v>
      </c>
    </row>
    <row r="11" spans="1:27" x14ac:dyDescent="0.2">
      <c r="A11" s="6" t="s">
        <v>0</v>
      </c>
      <c r="B11" s="6" t="s">
        <v>121</v>
      </c>
      <c r="C11" s="6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6" t="s">
        <v>88</v>
      </c>
      <c r="J11" s="6" t="s">
        <v>32</v>
      </c>
      <c r="K11" s="6" t="s">
        <v>51</v>
      </c>
      <c r="L11" s="6" t="s">
        <v>63</v>
      </c>
      <c r="M11" s="6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s="6" t="s">
        <v>112</v>
      </c>
      <c r="U11" s="6" t="s">
        <v>54</v>
      </c>
      <c r="V11" s="3">
        <v>78207</v>
      </c>
      <c r="W11" t="s">
        <v>127</v>
      </c>
      <c r="X11" t="s">
        <v>43</v>
      </c>
      <c r="Y11" t="s">
        <v>44</v>
      </c>
      <c r="Z11" s="6">
        <v>5</v>
      </c>
      <c r="AA11" s="6" t="str" cm="1">
        <f t="array" ref="AA11">_xlfn.IFS(Z11&gt;=5,"VERY HIGH",Z11&gt;=4,"HIGH",Z11&gt;=3,"MEDIUM",TRUE,"LOW")</f>
        <v>VERY HIGH</v>
      </c>
    </row>
    <row r="12" spans="1:27" x14ac:dyDescent="0.2">
      <c r="A12" s="6" t="s">
        <v>0</v>
      </c>
      <c r="B12" s="6" t="s">
        <v>128</v>
      </c>
      <c r="C12" s="6" t="s">
        <v>129</v>
      </c>
      <c r="D12" s="1">
        <v>45142</v>
      </c>
      <c r="F12" t="s">
        <v>58</v>
      </c>
      <c r="G12" t="s">
        <v>130</v>
      </c>
      <c r="H12" t="s">
        <v>131</v>
      </c>
      <c r="I12" s="6" t="s">
        <v>132</v>
      </c>
      <c r="J12" s="6" t="s">
        <v>32</v>
      </c>
      <c r="K12" s="6" t="s">
        <v>33</v>
      </c>
      <c r="L12" s="6" t="s">
        <v>63</v>
      </c>
      <c r="M12" s="6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s="6" t="s">
        <v>102</v>
      </c>
      <c r="U12" s="6" t="s">
        <v>41</v>
      </c>
      <c r="V12" s="3">
        <v>46204</v>
      </c>
      <c r="W12" t="s">
        <v>73</v>
      </c>
      <c r="X12" t="s">
        <v>74</v>
      </c>
      <c r="Y12" t="s">
        <v>44</v>
      </c>
      <c r="Z12" s="6">
        <v>5</v>
      </c>
      <c r="AA12" s="6" t="str" cm="1">
        <f t="array" ref="AA12">_xlfn.IFS(Z12&gt;=5,"VERY HIGH",Z12&gt;=4,"HIGH",Z12&gt;=3,"MEDIUM",TRUE,"LOW")</f>
        <v>VERY HIGH</v>
      </c>
    </row>
    <row r="13" spans="1:27" x14ac:dyDescent="0.2">
      <c r="A13" s="6" t="s">
        <v>0</v>
      </c>
      <c r="B13" s="6" t="s">
        <v>134</v>
      </c>
      <c r="C13" s="6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6" t="s">
        <v>138</v>
      </c>
      <c r="J13" s="6" t="s">
        <v>32</v>
      </c>
      <c r="K13" s="6" t="s">
        <v>62</v>
      </c>
      <c r="L13" s="6" t="s">
        <v>34</v>
      </c>
      <c r="M13" s="6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s="6" t="s">
        <v>102</v>
      </c>
      <c r="U13" s="6" t="s">
        <v>41</v>
      </c>
      <c r="V13" s="3">
        <v>30428</v>
      </c>
      <c r="W13" t="s">
        <v>127</v>
      </c>
      <c r="X13" t="s">
        <v>83</v>
      </c>
      <c r="Y13" t="s">
        <v>44</v>
      </c>
      <c r="Z13" s="6">
        <v>3</v>
      </c>
      <c r="AA13" s="6" t="str" cm="1">
        <f t="array" ref="AA13">_xlfn.IFS(Z13&gt;=5,"VERY HIGH",Z13&gt;=4,"HIGH",Z13&gt;=3,"MEDIUM",TRUE,"LOW")</f>
        <v>MEDIUM</v>
      </c>
    </row>
    <row r="14" spans="1:27" x14ac:dyDescent="0.2">
      <c r="A14" s="6" t="s">
        <v>0</v>
      </c>
      <c r="B14" s="6" t="s">
        <v>142</v>
      </c>
      <c r="C14" s="6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6" t="s">
        <v>49</v>
      </c>
      <c r="J14" s="6" t="s">
        <v>32</v>
      </c>
      <c r="K14" s="6" t="s">
        <v>62</v>
      </c>
      <c r="L14" s="6" t="s">
        <v>50</v>
      </c>
      <c r="M14" s="6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s="6" t="s">
        <v>149</v>
      </c>
      <c r="U14" s="6" t="s">
        <v>54</v>
      </c>
      <c r="V14" s="3">
        <v>80820</v>
      </c>
      <c r="W14" t="s">
        <v>73</v>
      </c>
      <c r="X14" t="s">
        <v>74</v>
      </c>
      <c r="Y14" t="s">
        <v>44</v>
      </c>
      <c r="Z14" s="6">
        <v>3</v>
      </c>
      <c r="AA14" s="6" t="str" cm="1">
        <f t="array" ref="AA14">_xlfn.IFS(Z14&gt;=5,"VERY HIGH",Z14&gt;=4,"HIGH",Z14&gt;=3,"MEDIUM",TRUE,"LOW")</f>
        <v>MEDIUM</v>
      </c>
    </row>
    <row r="15" spans="1:27" x14ac:dyDescent="0.2">
      <c r="A15" s="6" t="s">
        <v>0</v>
      </c>
      <c r="B15" s="6" t="s">
        <v>150</v>
      </c>
      <c r="C15" s="6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6" t="s">
        <v>31</v>
      </c>
      <c r="J15" s="6" t="s">
        <v>32</v>
      </c>
      <c r="K15" s="6" t="s">
        <v>33</v>
      </c>
      <c r="L15" s="6" t="s">
        <v>50</v>
      </c>
      <c r="M15" s="6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s="6" t="s">
        <v>156</v>
      </c>
      <c r="U15" s="6" t="s">
        <v>41</v>
      </c>
      <c r="V15" s="3">
        <v>40220</v>
      </c>
      <c r="W15" t="s">
        <v>42</v>
      </c>
      <c r="X15" t="s">
        <v>103</v>
      </c>
      <c r="Y15" t="s">
        <v>44</v>
      </c>
      <c r="Z15" s="6">
        <v>3</v>
      </c>
      <c r="AA15" s="6" t="str" cm="1">
        <f t="array" ref="AA15">_xlfn.IFS(Z15&gt;=5,"VERY HIGH",Z15&gt;=4,"HIGH",Z15&gt;=3,"MEDIUM",TRUE,"LOW")</f>
        <v>MEDIUM</v>
      </c>
    </row>
    <row r="16" spans="1:27" x14ac:dyDescent="0.2">
      <c r="A16" s="6" t="s">
        <v>0</v>
      </c>
      <c r="B16" s="6" t="s">
        <v>157</v>
      </c>
      <c r="C16" s="6" t="s">
        <v>158</v>
      </c>
      <c r="D16" s="1">
        <v>43583</v>
      </c>
      <c r="F16" t="s">
        <v>58</v>
      </c>
      <c r="G16" t="s">
        <v>159</v>
      </c>
      <c r="H16" t="s">
        <v>160</v>
      </c>
      <c r="I16" s="6" t="s">
        <v>88</v>
      </c>
      <c r="J16" s="6" t="s">
        <v>32</v>
      </c>
      <c r="K16" s="6" t="s">
        <v>51</v>
      </c>
      <c r="L16" s="6" t="s">
        <v>50</v>
      </c>
      <c r="M16" s="6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s="6" t="s">
        <v>162</v>
      </c>
      <c r="U16" s="6" t="s">
        <v>54</v>
      </c>
      <c r="V16" s="3">
        <v>89139</v>
      </c>
      <c r="W16" t="s">
        <v>127</v>
      </c>
      <c r="X16" t="s">
        <v>43</v>
      </c>
      <c r="Y16" t="s">
        <v>104</v>
      </c>
      <c r="Z16" s="6">
        <v>4</v>
      </c>
      <c r="AA16" s="6" t="str" cm="1">
        <f t="array" ref="AA16">_xlfn.IFS(Z16&gt;=5,"VERY HIGH",Z16&gt;=4,"HIGH",Z16&gt;=3,"MEDIUM",TRUE,"LOW")</f>
        <v>HIGH</v>
      </c>
    </row>
    <row r="17" spans="1:27" x14ac:dyDescent="0.2">
      <c r="A17" s="6" t="s">
        <v>0</v>
      </c>
      <c r="B17" s="6" t="s">
        <v>163</v>
      </c>
      <c r="C17" s="6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6" t="s">
        <v>167</v>
      </c>
      <c r="J17" s="6" t="s">
        <v>32</v>
      </c>
      <c r="K17" s="6" t="s">
        <v>62</v>
      </c>
      <c r="L17" s="6" t="s">
        <v>50</v>
      </c>
      <c r="M17" s="6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s="6" t="s">
        <v>82</v>
      </c>
      <c r="U17" s="6" t="s">
        <v>54</v>
      </c>
      <c r="V17" s="3">
        <v>2810</v>
      </c>
      <c r="W17" t="s">
        <v>92</v>
      </c>
      <c r="X17" t="s">
        <v>74</v>
      </c>
      <c r="Y17" t="s">
        <v>104</v>
      </c>
      <c r="Z17" s="6">
        <v>2</v>
      </c>
      <c r="AA17" s="6" t="str" cm="1">
        <f t="array" ref="AA17">_xlfn.IFS(Z17&gt;=5,"VERY HIGH",Z17&gt;=4,"HIGH",Z17&gt;=3,"MEDIUM",TRUE,"LOW")</f>
        <v>LOW</v>
      </c>
    </row>
    <row r="18" spans="1:27" x14ac:dyDescent="0.2">
      <c r="A18" s="6" t="s">
        <v>0</v>
      </c>
      <c r="B18" s="6" t="s">
        <v>170</v>
      </c>
      <c r="C18" s="6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6" t="s">
        <v>97</v>
      </c>
      <c r="J18" s="6" t="s">
        <v>32</v>
      </c>
      <c r="K18" s="6" t="s">
        <v>62</v>
      </c>
      <c r="L18" s="6" t="s">
        <v>34</v>
      </c>
      <c r="M18" s="6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s="6" t="s">
        <v>177</v>
      </c>
      <c r="U18" s="6" t="s">
        <v>54</v>
      </c>
      <c r="V18" s="3">
        <v>2621</v>
      </c>
      <c r="W18" t="s">
        <v>127</v>
      </c>
      <c r="X18" t="s">
        <v>43</v>
      </c>
      <c r="Y18" t="s">
        <v>44</v>
      </c>
      <c r="Z18" s="6">
        <v>3</v>
      </c>
      <c r="AA18" s="6" t="str" cm="1">
        <f t="array" ref="AA18">_xlfn.IFS(Z18&gt;=5,"VERY HIGH",Z18&gt;=4,"HIGH",Z18&gt;=3,"MEDIUM",TRUE,"LOW")</f>
        <v>MEDIUM</v>
      </c>
    </row>
    <row r="19" spans="1:27" x14ac:dyDescent="0.2">
      <c r="A19" s="6" t="s">
        <v>0</v>
      </c>
      <c r="B19" s="6" t="s">
        <v>178</v>
      </c>
      <c r="C19" s="6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6" t="s">
        <v>117</v>
      </c>
      <c r="J19" s="6" t="s">
        <v>32</v>
      </c>
      <c r="K19" s="6" t="s">
        <v>33</v>
      </c>
      <c r="L19" s="6" t="s">
        <v>50</v>
      </c>
      <c r="M19" s="6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s="6" t="s">
        <v>183</v>
      </c>
      <c r="U19" s="6" t="s">
        <v>54</v>
      </c>
      <c r="V19" s="3">
        <v>44553</v>
      </c>
      <c r="W19" t="s">
        <v>73</v>
      </c>
      <c r="X19" t="s">
        <v>43</v>
      </c>
      <c r="Y19" t="s">
        <v>44</v>
      </c>
      <c r="Z19" s="6">
        <v>3</v>
      </c>
      <c r="AA19" s="6" t="str" cm="1">
        <f t="array" ref="AA19">_xlfn.IFS(Z19&gt;=5,"VERY HIGH",Z19&gt;=4,"HIGH",Z19&gt;=3,"MEDIUM",TRUE,"LOW")</f>
        <v>MEDIUM</v>
      </c>
    </row>
    <row r="20" spans="1:27" x14ac:dyDescent="0.2">
      <c r="A20" s="6" t="s">
        <v>0</v>
      </c>
      <c r="B20" s="6" t="s">
        <v>184</v>
      </c>
      <c r="C20" s="6" t="s">
        <v>185</v>
      </c>
      <c r="D20" s="1">
        <v>44212</v>
      </c>
      <c r="F20" t="s">
        <v>58</v>
      </c>
      <c r="G20" t="s">
        <v>186</v>
      </c>
      <c r="H20" t="s">
        <v>187</v>
      </c>
      <c r="I20" s="6" t="s">
        <v>61</v>
      </c>
      <c r="J20" s="6" t="s">
        <v>32</v>
      </c>
      <c r="K20" s="6" t="s">
        <v>33</v>
      </c>
      <c r="L20" s="6" t="s">
        <v>34</v>
      </c>
      <c r="M20" s="6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s="6" t="s">
        <v>6</v>
      </c>
      <c r="U20" s="6" t="s">
        <v>41</v>
      </c>
      <c r="V20" s="3">
        <v>5360</v>
      </c>
      <c r="W20" t="s">
        <v>73</v>
      </c>
      <c r="X20" t="s">
        <v>83</v>
      </c>
      <c r="Y20" t="s">
        <v>104</v>
      </c>
      <c r="Z20" s="6">
        <v>4</v>
      </c>
      <c r="AA20" s="6" t="str" cm="1">
        <f t="array" ref="AA20">_xlfn.IFS(Z20&gt;=5,"VERY HIGH",Z20&gt;=4,"HIGH",Z20&gt;=3,"MEDIUM",TRUE,"LOW")</f>
        <v>HIGH</v>
      </c>
    </row>
    <row r="21" spans="1:27" x14ac:dyDescent="0.2">
      <c r="A21" s="6" t="s">
        <v>0</v>
      </c>
      <c r="B21" s="6" t="s">
        <v>188</v>
      </c>
      <c r="C21" s="6" t="s">
        <v>189</v>
      </c>
      <c r="D21" s="1">
        <v>44432</v>
      </c>
      <c r="F21" t="s">
        <v>58</v>
      </c>
      <c r="G21" t="s">
        <v>190</v>
      </c>
      <c r="H21" t="s">
        <v>191</v>
      </c>
      <c r="I21" s="6" t="s">
        <v>88</v>
      </c>
      <c r="J21" s="6" t="s">
        <v>32</v>
      </c>
      <c r="K21" s="6" t="s">
        <v>51</v>
      </c>
      <c r="L21" s="6" t="s">
        <v>50</v>
      </c>
      <c r="M21" s="6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s="6" t="s">
        <v>192</v>
      </c>
      <c r="U21" s="6" t="s">
        <v>41</v>
      </c>
      <c r="V21" s="3">
        <v>16325</v>
      </c>
      <c r="W21" t="s">
        <v>42</v>
      </c>
      <c r="X21" t="s">
        <v>103</v>
      </c>
      <c r="Y21" t="s">
        <v>104</v>
      </c>
      <c r="Z21" s="6">
        <v>2</v>
      </c>
      <c r="AA21" s="6" t="str" cm="1">
        <f t="array" ref="AA21">_xlfn.IFS(Z21&gt;=5,"VERY HIGH",Z21&gt;=4,"HIGH",Z21&gt;=3,"MEDIUM",TRUE,"LOW")</f>
        <v>LOW</v>
      </c>
    </row>
    <row r="22" spans="1:27" x14ac:dyDescent="0.2">
      <c r="A22" s="6" t="s">
        <v>0</v>
      </c>
      <c r="B22" s="6" t="s">
        <v>193</v>
      </c>
      <c r="C22" s="6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6" t="s">
        <v>31</v>
      </c>
      <c r="J22" s="6" t="s">
        <v>197</v>
      </c>
      <c r="K22" s="6" t="s">
        <v>51</v>
      </c>
      <c r="L22" s="6" t="s">
        <v>34</v>
      </c>
      <c r="M22" s="6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s="6" t="s">
        <v>102</v>
      </c>
      <c r="U22" s="6" t="s">
        <v>41</v>
      </c>
      <c r="V22" s="3">
        <v>43481</v>
      </c>
      <c r="W22" t="s">
        <v>127</v>
      </c>
      <c r="X22" t="s">
        <v>43</v>
      </c>
      <c r="Y22" t="s">
        <v>44</v>
      </c>
      <c r="Z22" s="6">
        <v>3</v>
      </c>
      <c r="AA22" s="6" t="str" cm="1">
        <f t="array" ref="AA22">_xlfn.IFS(Z22&gt;=5,"VERY HIGH",Z22&gt;=4,"HIGH",Z22&gt;=3,"MEDIUM",TRUE,"LOW")</f>
        <v>MEDIUM</v>
      </c>
    </row>
    <row r="23" spans="1:27" x14ac:dyDescent="0.2">
      <c r="A23" s="6" t="s">
        <v>0</v>
      </c>
      <c r="B23" s="6" t="s">
        <v>199</v>
      </c>
      <c r="C23" s="6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6" t="s">
        <v>132</v>
      </c>
      <c r="J23" s="6" t="s">
        <v>197</v>
      </c>
      <c r="K23" s="6" t="s">
        <v>62</v>
      </c>
      <c r="L23" s="6" t="s">
        <v>50</v>
      </c>
      <c r="M23" s="6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s="6" t="s">
        <v>204</v>
      </c>
      <c r="U23" s="6" t="s">
        <v>54</v>
      </c>
      <c r="V23" s="3">
        <v>50705</v>
      </c>
      <c r="W23" t="s">
        <v>127</v>
      </c>
      <c r="X23" t="s">
        <v>43</v>
      </c>
      <c r="Y23" t="s">
        <v>44</v>
      </c>
      <c r="Z23" s="6">
        <v>3</v>
      </c>
      <c r="AA23" s="6" t="str" cm="1">
        <f t="array" ref="AA23">_xlfn.IFS(Z23&gt;=5,"VERY HIGH",Z23&gt;=4,"HIGH",Z23&gt;=3,"MEDIUM",TRUE,"LOW")</f>
        <v>MEDIUM</v>
      </c>
    </row>
    <row r="24" spans="1:27" x14ac:dyDescent="0.2">
      <c r="A24" s="6" t="s">
        <v>0</v>
      </c>
      <c r="B24" s="6" t="s">
        <v>205</v>
      </c>
      <c r="C24" s="6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6" t="s">
        <v>49</v>
      </c>
      <c r="J24" s="6" t="s">
        <v>197</v>
      </c>
      <c r="K24" s="6" t="s">
        <v>33</v>
      </c>
      <c r="L24" s="6" t="s">
        <v>63</v>
      </c>
      <c r="M24" s="6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s="6" t="s">
        <v>102</v>
      </c>
      <c r="U24" s="6" t="s">
        <v>54</v>
      </c>
      <c r="V24" s="3">
        <v>5168</v>
      </c>
      <c r="W24" t="s">
        <v>92</v>
      </c>
      <c r="X24" t="s">
        <v>74</v>
      </c>
      <c r="Y24" t="s">
        <v>44</v>
      </c>
      <c r="Z24" s="6">
        <v>5</v>
      </c>
      <c r="AA24" s="6" t="str" cm="1">
        <f t="array" ref="AA24">_xlfn.IFS(Z24&gt;=5,"VERY HIGH",Z24&gt;=4,"HIGH",Z24&gt;=3,"MEDIUM",TRUE,"LOW")</f>
        <v>VERY HIGH</v>
      </c>
    </row>
    <row r="25" spans="1:27" x14ac:dyDescent="0.2">
      <c r="A25" s="6" t="s">
        <v>0</v>
      </c>
      <c r="B25" s="6" t="s">
        <v>210</v>
      </c>
      <c r="C25" s="6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6" t="s">
        <v>138</v>
      </c>
      <c r="J25" s="6" t="s">
        <v>32</v>
      </c>
      <c r="K25" s="6" t="s">
        <v>33</v>
      </c>
      <c r="L25" s="6" t="s">
        <v>34</v>
      </c>
      <c r="M25" s="6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s="6" t="s">
        <v>215</v>
      </c>
      <c r="U25" s="6" t="s">
        <v>54</v>
      </c>
      <c r="V25" s="3">
        <v>11765</v>
      </c>
      <c r="W25" t="s">
        <v>73</v>
      </c>
      <c r="X25" t="s">
        <v>74</v>
      </c>
      <c r="Y25" t="s">
        <v>104</v>
      </c>
      <c r="Z25" s="6">
        <v>2</v>
      </c>
      <c r="AA25" s="6" t="str" cm="1">
        <f t="array" ref="AA25">_xlfn.IFS(Z25&gt;=5,"VERY HIGH",Z25&gt;=4,"HIGH",Z25&gt;=3,"MEDIUM",TRUE,"LOW")</f>
        <v>LOW</v>
      </c>
    </row>
    <row r="26" spans="1:27" x14ac:dyDescent="0.2">
      <c r="A26" s="6" t="s">
        <v>0</v>
      </c>
      <c r="B26" s="6" t="s">
        <v>216</v>
      </c>
      <c r="C26" s="6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6" t="s">
        <v>79</v>
      </c>
      <c r="J26" s="6" t="s">
        <v>32</v>
      </c>
      <c r="K26" s="6" t="s">
        <v>33</v>
      </c>
      <c r="L26" s="6" t="s">
        <v>34</v>
      </c>
      <c r="M26" s="6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s="6" t="s">
        <v>102</v>
      </c>
      <c r="U26" s="6" t="s">
        <v>54</v>
      </c>
      <c r="V26" s="3">
        <v>71071</v>
      </c>
      <c r="W26" t="s">
        <v>73</v>
      </c>
      <c r="X26" t="s">
        <v>103</v>
      </c>
      <c r="Y26" t="s">
        <v>104</v>
      </c>
      <c r="Z26" s="6">
        <v>3</v>
      </c>
      <c r="AA26" s="6" t="str" cm="1">
        <f t="array" ref="AA26">_xlfn.IFS(Z26&gt;=5,"VERY HIGH",Z26&gt;=4,"HIGH",Z26&gt;=3,"MEDIUM",TRUE,"LOW")</f>
        <v>MEDIUM</v>
      </c>
    </row>
    <row r="27" spans="1:27" x14ac:dyDescent="0.2">
      <c r="A27" s="6" t="s">
        <v>0</v>
      </c>
      <c r="B27" s="6" t="s">
        <v>221</v>
      </c>
      <c r="C27" s="6" t="s">
        <v>222</v>
      </c>
      <c r="D27" s="1">
        <v>44873</v>
      </c>
      <c r="F27" t="s">
        <v>58</v>
      </c>
      <c r="G27" t="s">
        <v>223</v>
      </c>
      <c r="H27" t="s">
        <v>224</v>
      </c>
      <c r="I27" s="6" t="s">
        <v>167</v>
      </c>
      <c r="J27" s="6" t="s">
        <v>32</v>
      </c>
      <c r="K27" s="6" t="s">
        <v>51</v>
      </c>
      <c r="L27" s="6" t="s">
        <v>50</v>
      </c>
      <c r="M27" s="6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s="6" t="s">
        <v>225</v>
      </c>
      <c r="U27" s="6" t="s">
        <v>54</v>
      </c>
      <c r="V27" s="3">
        <v>12122</v>
      </c>
      <c r="W27" t="s">
        <v>92</v>
      </c>
      <c r="X27" t="s">
        <v>103</v>
      </c>
      <c r="Y27" t="s">
        <v>44</v>
      </c>
      <c r="Z27" s="6">
        <v>2</v>
      </c>
      <c r="AA27" s="6" t="str" cm="1">
        <f t="array" ref="AA27">_xlfn.IFS(Z27&gt;=5,"VERY HIGH",Z27&gt;=4,"HIGH",Z27&gt;=3,"MEDIUM",TRUE,"LOW")</f>
        <v>LOW</v>
      </c>
    </row>
    <row r="28" spans="1:27" x14ac:dyDescent="0.2">
      <c r="A28" s="6" t="s">
        <v>0</v>
      </c>
      <c r="B28" s="6" t="s">
        <v>226</v>
      </c>
      <c r="C28" s="6" t="s">
        <v>227</v>
      </c>
      <c r="D28" s="1">
        <v>44847</v>
      </c>
      <c r="F28" t="s">
        <v>58</v>
      </c>
      <c r="G28" t="s">
        <v>228</v>
      </c>
      <c r="H28" t="s">
        <v>229</v>
      </c>
      <c r="I28" s="6" t="s">
        <v>97</v>
      </c>
      <c r="J28" s="6" t="s">
        <v>32</v>
      </c>
      <c r="K28" s="6" t="s">
        <v>33</v>
      </c>
      <c r="L28" s="6" t="s">
        <v>34</v>
      </c>
      <c r="M28" s="6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s="6" t="s">
        <v>112</v>
      </c>
      <c r="U28" s="6" t="s">
        <v>54</v>
      </c>
      <c r="V28" s="3">
        <v>87065</v>
      </c>
      <c r="W28" t="s">
        <v>42</v>
      </c>
      <c r="X28" t="s">
        <v>43</v>
      </c>
      <c r="Y28" t="s">
        <v>44</v>
      </c>
      <c r="Z28" s="6">
        <v>4</v>
      </c>
      <c r="AA28" s="6" t="str" cm="1">
        <f t="array" ref="AA28">_xlfn.IFS(Z28&gt;=5,"VERY HIGH",Z28&gt;=4,"HIGH",Z28&gt;=3,"MEDIUM",TRUE,"LOW")</f>
        <v>HIGH</v>
      </c>
    </row>
    <row r="29" spans="1:27" x14ac:dyDescent="0.2">
      <c r="A29" s="6" t="s">
        <v>0</v>
      </c>
      <c r="B29" s="6" t="s">
        <v>231</v>
      </c>
      <c r="C29" s="6" t="s">
        <v>232</v>
      </c>
      <c r="D29" s="1">
        <v>44815</v>
      </c>
      <c r="F29" t="s">
        <v>58</v>
      </c>
      <c r="G29" t="s">
        <v>233</v>
      </c>
      <c r="H29" t="s">
        <v>234</v>
      </c>
      <c r="I29" s="6" t="s">
        <v>167</v>
      </c>
      <c r="J29" s="6" t="s">
        <v>32</v>
      </c>
      <c r="K29" s="6" t="s">
        <v>62</v>
      </c>
      <c r="L29" s="6" t="s">
        <v>34</v>
      </c>
      <c r="M29" s="6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s="6" t="s">
        <v>225</v>
      </c>
      <c r="U29" s="6" t="s">
        <v>54</v>
      </c>
      <c r="V29" s="3">
        <v>10415</v>
      </c>
      <c r="W29" t="s">
        <v>55</v>
      </c>
      <c r="X29" t="s">
        <v>83</v>
      </c>
      <c r="Y29" t="s">
        <v>235</v>
      </c>
      <c r="Z29" s="6">
        <v>4</v>
      </c>
      <c r="AA29" s="6" t="str" cm="1">
        <f t="array" ref="AA29">_xlfn.IFS(Z29&gt;=5,"VERY HIGH",Z29&gt;=4,"HIGH",Z29&gt;=3,"MEDIUM",TRUE,"LOW")</f>
        <v>HIGH</v>
      </c>
    </row>
    <row r="30" spans="1:27" x14ac:dyDescent="0.2">
      <c r="A30" s="6" t="s">
        <v>0</v>
      </c>
      <c r="B30" s="6" t="s">
        <v>236</v>
      </c>
      <c r="C30" s="6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6" t="s">
        <v>97</v>
      </c>
      <c r="J30" s="6" t="s">
        <v>32</v>
      </c>
      <c r="K30" s="6" t="s">
        <v>62</v>
      </c>
      <c r="L30" s="6" t="s">
        <v>34</v>
      </c>
      <c r="M30" s="6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s="6" t="s">
        <v>242</v>
      </c>
      <c r="U30" s="6" t="s">
        <v>54</v>
      </c>
      <c r="V30" s="3">
        <v>3763</v>
      </c>
      <c r="W30" t="s">
        <v>73</v>
      </c>
      <c r="X30" t="s">
        <v>43</v>
      </c>
      <c r="Y30" t="s">
        <v>104</v>
      </c>
      <c r="Z30" s="6">
        <v>4</v>
      </c>
      <c r="AA30" s="6" t="str" cm="1">
        <f t="array" ref="AA30">_xlfn.IFS(Z30&gt;=5,"VERY HIGH",Z30&gt;=4,"HIGH",Z30&gt;=3,"MEDIUM",TRUE,"LOW")</f>
        <v>HIGH</v>
      </c>
    </row>
    <row r="31" spans="1:27" x14ac:dyDescent="0.2">
      <c r="A31" s="6" t="s">
        <v>0</v>
      </c>
      <c r="B31" s="6" t="s">
        <v>243</v>
      </c>
      <c r="C31" s="6" t="s">
        <v>244</v>
      </c>
      <c r="D31" s="1">
        <v>44991</v>
      </c>
      <c r="F31" t="s">
        <v>58</v>
      </c>
      <c r="G31" t="s">
        <v>245</v>
      </c>
      <c r="H31" t="s">
        <v>246</v>
      </c>
      <c r="I31" s="6" t="s">
        <v>117</v>
      </c>
      <c r="J31" s="6" t="s">
        <v>32</v>
      </c>
      <c r="K31" s="6" t="s">
        <v>62</v>
      </c>
      <c r="L31" s="6" t="s">
        <v>50</v>
      </c>
      <c r="M31" s="6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s="6" t="s">
        <v>102</v>
      </c>
      <c r="U31" s="6" t="s">
        <v>41</v>
      </c>
      <c r="V31" s="3">
        <v>79623</v>
      </c>
      <c r="W31" t="s">
        <v>92</v>
      </c>
      <c r="X31" t="s">
        <v>103</v>
      </c>
      <c r="Y31" t="s">
        <v>44</v>
      </c>
      <c r="Z31" s="6">
        <v>3</v>
      </c>
      <c r="AA31" s="6" t="str" cm="1">
        <f t="array" ref="AA31">_xlfn.IFS(Z31&gt;=5,"VERY HIGH",Z31&gt;=4,"HIGH",Z31&gt;=3,"MEDIUM",TRUE,"LOW")</f>
        <v>MEDIUM</v>
      </c>
    </row>
    <row r="32" spans="1:27" x14ac:dyDescent="0.2">
      <c r="A32" s="6" t="s">
        <v>0</v>
      </c>
      <c r="B32" s="6" t="s">
        <v>247</v>
      </c>
      <c r="C32" s="6" t="s">
        <v>248</v>
      </c>
      <c r="D32" s="1">
        <v>44099</v>
      </c>
      <c r="F32" t="s">
        <v>58</v>
      </c>
      <c r="G32" t="s">
        <v>249</v>
      </c>
      <c r="H32" t="s">
        <v>250</v>
      </c>
      <c r="I32" s="6" t="s">
        <v>61</v>
      </c>
      <c r="J32" s="6" t="s">
        <v>32</v>
      </c>
      <c r="K32" s="6" t="s">
        <v>62</v>
      </c>
      <c r="L32" s="6" t="s">
        <v>63</v>
      </c>
      <c r="M32" s="6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s="6" t="s">
        <v>102</v>
      </c>
      <c r="U32" s="6" t="s">
        <v>41</v>
      </c>
      <c r="V32" s="3">
        <v>69189</v>
      </c>
      <c r="W32" t="s">
        <v>42</v>
      </c>
      <c r="X32" t="s">
        <v>103</v>
      </c>
      <c r="Y32" t="s">
        <v>235</v>
      </c>
      <c r="Z32" s="6">
        <v>3</v>
      </c>
      <c r="AA32" s="6" t="str" cm="1">
        <f t="array" ref="AA32">_xlfn.IFS(Z32&gt;=5,"VERY HIGH",Z32&gt;=4,"HIGH",Z32&gt;=3,"MEDIUM",TRUE,"LOW")</f>
        <v>MEDIUM</v>
      </c>
    </row>
    <row r="33" spans="1:27" x14ac:dyDescent="0.2">
      <c r="A33" s="6" t="s">
        <v>0</v>
      </c>
      <c r="B33" s="6" t="s">
        <v>251</v>
      </c>
      <c r="C33" s="6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6" t="s">
        <v>88</v>
      </c>
      <c r="J33" s="6" t="s">
        <v>197</v>
      </c>
      <c r="K33" s="6" t="s">
        <v>33</v>
      </c>
      <c r="L33" s="6" t="s">
        <v>50</v>
      </c>
      <c r="M33" s="6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s="6" t="s">
        <v>82</v>
      </c>
      <c r="U33" s="6" t="s">
        <v>41</v>
      </c>
      <c r="V33" s="3">
        <v>5194</v>
      </c>
      <c r="W33" t="s">
        <v>55</v>
      </c>
      <c r="X33" t="s">
        <v>74</v>
      </c>
      <c r="Y33" t="s">
        <v>235</v>
      </c>
      <c r="Z33" s="6">
        <v>3</v>
      </c>
      <c r="AA33" s="6" t="str" cm="1">
        <f t="array" ref="AA33">_xlfn.IFS(Z33&gt;=5,"VERY HIGH",Z33&gt;=4,"HIGH",Z33&gt;=3,"MEDIUM",TRUE,"LOW")</f>
        <v>MEDIUM</v>
      </c>
    </row>
    <row r="34" spans="1:27" x14ac:dyDescent="0.2">
      <c r="A34" s="6" t="s">
        <v>0</v>
      </c>
      <c r="B34" s="6" t="s">
        <v>256</v>
      </c>
      <c r="C34" s="6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6" t="s">
        <v>31</v>
      </c>
      <c r="J34" s="6" t="s">
        <v>197</v>
      </c>
      <c r="K34" s="6" t="s">
        <v>51</v>
      </c>
      <c r="L34" s="6" t="s">
        <v>50</v>
      </c>
      <c r="M34" s="6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s="6" t="s">
        <v>149</v>
      </c>
      <c r="U34" s="6" t="s">
        <v>54</v>
      </c>
      <c r="V34" s="3">
        <v>8779</v>
      </c>
      <c r="W34" t="s">
        <v>92</v>
      </c>
      <c r="X34" t="s">
        <v>43</v>
      </c>
      <c r="Y34" t="s">
        <v>104</v>
      </c>
      <c r="Z34" s="6">
        <v>2</v>
      </c>
      <c r="AA34" s="6" t="str" cm="1">
        <f t="array" ref="AA34">_xlfn.IFS(Z34&gt;=5,"VERY HIGH",Z34&gt;=4,"HIGH",Z34&gt;=3,"MEDIUM",TRUE,"LOW")</f>
        <v>LOW</v>
      </c>
    </row>
    <row r="35" spans="1:27" x14ac:dyDescent="0.2">
      <c r="A35" s="6" t="s">
        <v>0</v>
      </c>
      <c r="B35" s="6" t="s">
        <v>261</v>
      </c>
      <c r="C35" s="6" t="s">
        <v>262</v>
      </c>
      <c r="D35" s="1">
        <v>43880</v>
      </c>
      <c r="F35" t="s">
        <v>58</v>
      </c>
      <c r="G35" t="s">
        <v>263</v>
      </c>
      <c r="H35" t="s">
        <v>264</v>
      </c>
      <c r="I35" s="6" t="s">
        <v>132</v>
      </c>
      <c r="J35" s="6" t="s">
        <v>32</v>
      </c>
      <c r="K35" s="6" t="s">
        <v>62</v>
      </c>
      <c r="L35" s="6" t="s">
        <v>50</v>
      </c>
      <c r="M35" s="6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s="6" t="s">
        <v>162</v>
      </c>
      <c r="U35" s="6" t="s">
        <v>54</v>
      </c>
      <c r="V35" s="3">
        <v>74682</v>
      </c>
      <c r="W35" t="s">
        <v>127</v>
      </c>
      <c r="X35" t="s">
        <v>83</v>
      </c>
      <c r="Y35" t="s">
        <v>44</v>
      </c>
      <c r="Z35" s="6">
        <v>3</v>
      </c>
      <c r="AA35" s="6" t="str" cm="1">
        <f t="array" ref="AA35">_xlfn.IFS(Z35&gt;=5,"VERY HIGH",Z35&gt;=4,"HIGH",Z35&gt;=3,"MEDIUM",TRUE,"LOW")</f>
        <v>MEDIUM</v>
      </c>
    </row>
    <row r="36" spans="1:27" x14ac:dyDescent="0.2">
      <c r="A36" s="6" t="s">
        <v>0</v>
      </c>
      <c r="B36" s="6" t="s">
        <v>265</v>
      </c>
      <c r="C36" s="6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6" t="s">
        <v>49</v>
      </c>
      <c r="J36" s="6" t="s">
        <v>197</v>
      </c>
      <c r="K36" s="6" t="s">
        <v>62</v>
      </c>
      <c r="L36" s="6" t="s">
        <v>34</v>
      </c>
      <c r="M36" s="6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s="6" t="s">
        <v>225</v>
      </c>
      <c r="U36" s="6" t="s">
        <v>54</v>
      </c>
      <c r="V36" s="3">
        <v>78046</v>
      </c>
      <c r="W36" t="s">
        <v>55</v>
      </c>
      <c r="X36" t="s">
        <v>83</v>
      </c>
      <c r="Y36" t="s">
        <v>235</v>
      </c>
      <c r="Z36" s="6">
        <v>1</v>
      </c>
      <c r="AA36" s="6" t="str" cm="1">
        <f t="array" ref="AA36">_xlfn.IFS(Z36&gt;=5,"VERY HIGH",Z36&gt;=4,"HIGH",Z36&gt;=3,"MEDIUM",TRUE,"LOW")</f>
        <v>LOW</v>
      </c>
    </row>
    <row r="37" spans="1:27" x14ac:dyDescent="0.2">
      <c r="A37" s="6" t="s">
        <v>0</v>
      </c>
      <c r="B37" s="6" t="s">
        <v>270</v>
      </c>
      <c r="C37" s="6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6" t="s">
        <v>138</v>
      </c>
      <c r="J37" s="6" t="s">
        <v>32</v>
      </c>
      <c r="K37" s="6" t="s">
        <v>33</v>
      </c>
      <c r="L37" s="6" t="s">
        <v>50</v>
      </c>
      <c r="M37" s="6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s="6" t="s">
        <v>177</v>
      </c>
      <c r="U37" s="6" t="s">
        <v>54</v>
      </c>
      <c r="V37" s="3">
        <v>27270</v>
      </c>
      <c r="W37" t="s">
        <v>55</v>
      </c>
      <c r="X37" t="s">
        <v>103</v>
      </c>
      <c r="Y37" t="s">
        <v>235</v>
      </c>
      <c r="Z37" s="6">
        <v>3</v>
      </c>
      <c r="AA37" s="6" t="str" cm="1">
        <f t="array" ref="AA37">_xlfn.IFS(Z37&gt;=5,"VERY HIGH",Z37&gt;=4,"HIGH",Z37&gt;=3,"MEDIUM",TRUE,"LOW")</f>
        <v>MEDIUM</v>
      </c>
    </row>
    <row r="38" spans="1:27" x14ac:dyDescent="0.2">
      <c r="A38" s="6" t="s">
        <v>0</v>
      </c>
      <c r="B38" s="6" t="s">
        <v>275</v>
      </c>
      <c r="C38" s="6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6" t="s">
        <v>79</v>
      </c>
      <c r="J38" s="6" t="s">
        <v>32</v>
      </c>
      <c r="K38" s="6" t="s">
        <v>51</v>
      </c>
      <c r="L38" s="6" t="s">
        <v>50</v>
      </c>
      <c r="M38" s="6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s="6" t="s">
        <v>280</v>
      </c>
      <c r="U38" s="6" t="s">
        <v>54</v>
      </c>
      <c r="V38" s="3">
        <v>12703</v>
      </c>
      <c r="W38" t="s">
        <v>55</v>
      </c>
      <c r="X38" t="s">
        <v>74</v>
      </c>
      <c r="Y38" t="s">
        <v>44</v>
      </c>
      <c r="Z38" s="6">
        <v>1</v>
      </c>
      <c r="AA38" s="6" t="str" cm="1">
        <f t="array" ref="AA38">_xlfn.IFS(Z38&gt;=5,"VERY HIGH",Z38&gt;=4,"HIGH",Z38&gt;=3,"MEDIUM",TRUE,"LOW")</f>
        <v>LOW</v>
      </c>
    </row>
    <row r="39" spans="1:27" x14ac:dyDescent="0.2">
      <c r="A39" s="6" t="s">
        <v>0</v>
      </c>
      <c r="B39" s="6" t="s">
        <v>262</v>
      </c>
      <c r="C39" s="6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6" t="s">
        <v>167</v>
      </c>
      <c r="J39" s="6" t="s">
        <v>32</v>
      </c>
      <c r="K39" s="6" t="s">
        <v>33</v>
      </c>
      <c r="L39" s="6" t="s">
        <v>63</v>
      </c>
      <c r="M39" s="6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s="6" t="s">
        <v>286</v>
      </c>
      <c r="U39" s="6" t="s">
        <v>54</v>
      </c>
      <c r="V39" s="3">
        <v>66835</v>
      </c>
      <c r="W39" t="s">
        <v>92</v>
      </c>
      <c r="X39" t="s">
        <v>43</v>
      </c>
      <c r="Y39" t="s">
        <v>235</v>
      </c>
      <c r="Z39" s="6">
        <v>5</v>
      </c>
      <c r="AA39" s="6" t="str" cm="1">
        <f t="array" ref="AA39">_xlfn.IFS(Z39&gt;=5,"VERY HIGH",Z39&gt;=4,"HIGH",Z39&gt;=3,"MEDIUM",TRUE,"LOW")</f>
        <v>VERY HIGH</v>
      </c>
    </row>
    <row r="40" spans="1:27" x14ac:dyDescent="0.2">
      <c r="A40" s="6" t="s">
        <v>0</v>
      </c>
      <c r="B40" s="6" t="s">
        <v>287</v>
      </c>
      <c r="C40" s="6" t="s">
        <v>288</v>
      </c>
      <c r="D40" s="1">
        <v>44508</v>
      </c>
      <c r="F40" t="s">
        <v>58</v>
      </c>
      <c r="G40" t="s">
        <v>289</v>
      </c>
      <c r="H40" t="s">
        <v>290</v>
      </c>
      <c r="I40" s="6" t="s">
        <v>97</v>
      </c>
      <c r="J40" s="6" t="s">
        <v>32</v>
      </c>
      <c r="K40" s="6" t="s">
        <v>62</v>
      </c>
      <c r="L40" s="6" t="s">
        <v>63</v>
      </c>
      <c r="M40" s="6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s="6" t="s">
        <v>291</v>
      </c>
      <c r="U40" s="6" t="s">
        <v>54</v>
      </c>
      <c r="V40" s="3">
        <v>66150</v>
      </c>
      <c r="W40" t="s">
        <v>127</v>
      </c>
      <c r="X40" t="s">
        <v>103</v>
      </c>
      <c r="Y40" t="s">
        <v>235</v>
      </c>
      <c r="Z40" s="6">
        <v>3</v>
      </c>
      <c r="AA40" s="6" t="str" cm="1">
        <f t="array" ref="AA40">_xlfn.IFS(Z40&gt;=5,"VERY HIGH",Z40&gt;=4,"HIGH",Z40&gt;=3,"MEDIUM",TRUE,"LOW")</f>
        <v>MEDIUM</v>
      </c>
    </row>
    <row r="41" spans="1:27" x14ac:dyDescent="0.2">
      <c r="A41" s="6" t="s">
        <v>0</v>
      </c>
      <c r="B41" s="6" t="s">
        <v>292</v>
      </c>
      <c r="C41" s="6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6" t="s">
        <v>167</v>
      </c>
      <c r="J41" s="6" t="s">
        <v>32</v>
      </c>
      <c r="K41" s="6" t="s">
        <v>51</v>
      </c>
      <c r="L41" s="6" t="s">
        <v>34</v>
      </c>
      <c r="M41" s="6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s="6" t="s">
        <v>6</v>
      </c>
      <c r="U41" s="6" t="s">
        <v>54</v>
      </c>
      <c r="V41" s="3">
        <v>64288</v>
      </c>
      <c r="W41" t="s">
        <v>73</v>
      </c>
      <c r="X41" t="s">
        <v>83</v>
      </c>
      <c r="Y41" t="s">
        <v>104</v>
      </c>
      <c r="Z41" s="6">
        <v>4</v>
      </c>
      <c r="AA41" s="6" t="str" cm="1">
        <f t="array" ref="AA41">_xlfn.IFS(Z41&gt;=5,"VERY HIGH",Z41&gt;=4,"HIGH",Z41&gt;=3,"MEDIUM",TRUE,"LOW")</f>
        <v>HIGH</v>
      </c>
    </row>
    <row r="42" spans="1:27" x14ac:dyDescent="0.2">
      <c r="A42" s="6" t="s">
        <v>0</v>
      </c>
      <c r="B42" s="6" t="s">
        <v>297</v>
      </c>
      <c r="C42" s="6" t="s">
        <v>298</v>
      </c>
      <c r="D42" s="1">
        <v>43957</v>
      </c>
      <c r="F42" t="s">
        <v>58</v>
      </c>
      <c r="G42" t="s">
        <v>299</v>
      </c>
      <c r="H42" t="s">
        <v>300</v>
      </c>
      <c r="I42" s="6" t="s">
        <v>97</v>
      </c>
      <c r="J42" s="6" t="s">
        <v>32</v>
      </c>
      <c r="K42" s="6" t="s">
        <v>33</v>
      </c>
      <c r="L42" s="6" t="s">
        <v>50</v>
      </c>
      <c r="M42" s="6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s="6" t="s">
        <v>112</v>
      </c>
      <c r="U42" s="6" t="s">
        <v>41</v>
      </c>
      <c r="V42" s="3">
        <v>94333</v>
      </c>
      <c r="W42" t="s">
        <v>127</v>
      </c>
      <c r="X42" t="s">
        <v>103</v>
      </c>
      <c r="Y42" t="s">
        <v>104</v>
      </c>
      <c r="Z42" s="6">
        <v>1</v>
      </c>
      <c r="AA42" s="6" t="str" cm="1">
        <f t="array" ref="AA42">_xlfn.IFS(Z42&gt;=5,"VERY HIGH",Z42&gt;=4,"HIGH",Z42&gt;=3,"MEDIUM",TRUE,"LOW")</f>
        <v>LOW</v>
      </c>
    </row>
    <row r="43" spans="1:27" x14ac:dyDescent="0.2">
      <c r="A43" s="6" t="s">
        <v>0</v>
      </c>
      <c r="B43" s="6" t="s">
        <v>301</v>
      </c>
      <c r="C43" s="6" t="s">
        <v>210</v>
      </c>
      <c r="D43" s="1">
        <v>43717</v>
      </c>
      <c r="F43" t="s">
        <v>58</v>
      </c>
      <c r="G43" t="s">
        <v>302</v>
      </c>
      <c r="H43" t="s">
        <v>303</v>
      </c>
      <c r="I43" s="6" t="s">
        <v>117</v>
      </c>
      <c r="J43" s="6" t="s">
        <v>32</v>
      </c>
      <c r="K43" s="6" t="s">
        <v>33</v>
      </c>
      <c r="L43" s="6" t="s">
        <v>63</v>
      </c>
      <c r="M43" s="6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s="6" t="s">
        <v>225</v>
      </c>
      <c r="U43" s="6" t="s">
        <v>41</v>
      </c>
      <c r="V43" s="3">
        <v>45453</v>
      </c>
      <c r="W43" t="s">
        <v>92</v>
      </c>
      <c r="X43" t="s">
        <v>74</v>
      </c>
      <c r="Y43" t="s">
        <v>44</v>
      </c>
      <c r="Z43" s="6">
        <v>4</v>
      </c>
      <c r="AA43" s="6" t="str" cm="1">
        <f t="array" ref="AA43">_xlfn.IFS(Z43&gt;=5,"VERY HIGH",Z43&gt;=4,"HIGH",Z43&gt;=3,"MEDIUM",TRUE,"LOW")</f>
        <v>HIGH</v>
      </c>
    </row>
    <row r="44" spans="1:27" x14ac:dyDescent="0.2">
      <c r="A44" s="6" t="s">
        <v>0</v>
      </c>
      <c r="B44" s="6" t="s">
        <v>305</v>
      </c>
      <c r="C44" s="6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6" t="s">
        <v>61</v>
      </c>
      <c r="J44" s="6" t="s">
        <v>197</v>
      </c>
      <c r="K44" s="6" t="s">
        <v>33</v>
      </c>
      <c r="L44" s="6" t="s">
        <v>63</v>
      </c>
      <c r="M44" s="6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s="6" t="s">
        <v>91</v>
      </c>
      <c r="U44" s="6" t="s">
        <v>41</v>
      </c>
      <c r="V44" s="3">
        <v>81905</v>
      </c>
      <c r="W44" t="s">
        <v>127</v>
      </c>
      <c r="X44" t="s">
        <v>103</v>
      </c>
      <c r="Y44" t="s">
        <v>235</v>
      </c>
      <c r="Z44" s="6">
        <v>3</v>
      </c>
      <c r="AA44" s="6" t="str" cm="1">
        <f t="array" ref="AA44">_xlfn.IFS(Z44&gt;=5,"VERY HIGH",Z44&gt;=4,"HIGH",Z44&gt;=3,"MEDIUM",TRUE,"LOW")</f>
        <v>MEDIUM</v>
      </c>
    </row>
    <row r="45" spans="1:27" x14ac:dyDescent="0.2">
      <c r="A45" s="6" t="s">
        <v>0</v>
      </c>
      <c r="B45" s="6" t="s">
        <v>310</v>
      </c>
      <c r="C45" s="6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6" t="s">
        <v>88</v>
      </c>
      <c r="J45" s="6" t="s">
        <v>197</v>
      </c>
      <c r="K45" s="6" t="s">
        <v>33</v>
      </c>
      <c r="L45" s="6" t="s">
        <v>34</v>
      </c>
      <c r="M45" s="6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s="6" t="s">
        <v>102</v>
      </c>
      <c r="U45" s="6" t="s">
        <v>41</v>
      </c>
      <c r="V45" s="3">
        <v>12491</v>
      </c>
      <c r="W45" t="s">
        <v>92</v>
      </c>
      <c r="X45" t="s">
        <v>83</v>
      </c>
      <c r="Y45" t="s">
        <v>235</v>
      </c>
      <c r="Z45" s="6">
        <v>3</v>
      </c>
      <c r="AA45" s="6" t="str" cm="1">
        <f t="array" ref="AA45">_xlfn.IFS(Z45&gt;=5,"VERY HIGH",Z45&gt;=4,"HIGH",Z45&gt;=3,"MEDIUM",TRUE,"LOW")</f>
        <v>MEDIUM</v>
      </c>
    </row>
    <row r="46" spans="1:27" x14ac:dyDescent="0.2">
      <c r="A46" s="6" t="s">
        <v>0</v>
      </c>
      <c r="B46" s="6" t="s">
        <v>315</v>
      </c>
      <c r="C46" s="6" t="s">
        <v>316</v>
      </c>
      <c r="D46" s="1">
        <v>43890</v>
      </c>
      <c r="F46" t="s">
        <v>58</v>
      </c>
      <c r="G46" t="s">
        <v>317</v>
      </c>
      <c r="H46" t="s">
        <v>318</v>
      </c>
      <c r="I46" s="6" t="s">
        <v>31</v>
      </c>
      <c r="J46" s="6" t="s">
        <v>32</v>
      </c>
      <c r="K46" s="6" t="s">
        <v>51</v>
      </c>
      <c r="L46" s="6" t="s">
        <v>34</v>
      </c>
      <c r="M46" s="6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s="6" t="s">
        <v>225</v>
      </c>
      <c r="U46" s="6" t="s">
        <v>54</v>
      </c>
      <c r="V46" s="3">
        <v>64350</v>
      </c>
      <c r="W46" t="s">
        <v>127</v>
      </c>
      <c r="X46" t="s">
        <v>83</v>
      </c>
      <c r="Y46" t="s">
        <v>44</v>
      </c>
      <c r="Z46" s="6">
        <v>4</v>
      </c>
      <c r="AA46" s="6" t="str" cm="1">
        <f t="array" ref="AA46">_xlfn.IFS(Z46&gt;=5,"VERY HIGH",Z46&gt;=4,"HIGH",Z46&gt;=3,"MEDIUM",TRUE,"LOW")</f>
        <v>HIGH</v>
      </c>
    </row>
    <row r="47" spans="1:27" x14ac:dyDescent="0.2">
      <c r="A47" s="6" t="s">
        <v>0</v>
      </c>
      <c r="B47" s="6" t="s">
        <v>319</v>
      </c>
      <c r="C47" s="6" t="s">
        <v>320</v>
      </c>
      <c r="D47" s="1">
        <v>44941</v>
      </c>
      <c r="F47" t="s">
        <v>58</v>
      </c>
      <c r="G47" t="s">
        <v>321</v>
      </c>
      <c r="H47" t="s">
        <v>322</v>
      </c>
      <c r="I47" s="6" t="s">
        <v>132</v>
      </c>
      <c r="J47" s="6" t="s">
        <v>32</v>
      </c>
      <c r="K47" s="6" t="s">
        <v>33</v>
      </c>
      <c r="L47" s="6" t="s">
        <v>34</v>
      </c>
      <c r="M47" s="6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s="6" t="s">
        <v>183</v>
      </c>
      <c r="U47" s="6" t="s">
        <v>54</v>
      </c>
      <c r="V47" s="3">
        <v>74124</v>
      </c>
      <c r="W47" t="s">
        <v>73</v>
      </c>
      <c r="X47" t="s">
        <v>83</v>
      </c>
      <c r="Y47" t="s">
        <v>104</v>
      </c>
      <c r="Z47" s="6">
        <v>4</v>
      </c>
      <c r="AA47" s="6" t="str" cm="1">
        <f t="array" ref="AA47">_xlfn.IFS(Z47&gt;=5,"VERY HIGH",Z47&gt;=4,"HIGH",Z47&gt;=3,"MEDIUM",TRUE,"LOW")</f>
        <v>HIGH</v>
      </c>
    </row>
    <row r="48" spans="1:27" x14ac:dyDescent="0.2">
      <c r="A48" s="6" t="s">
        <v>0</v>
      </c>
      <c r="B48" s="6" t="s">
        <v>323</v>
      </c>
      <c r="C48" s="6" t="s">
        <v>324</v>
      </c>
      <c r="D48" s="1">
        <v>45106</v>
      </c>
      <c r="F48" t="s">
        <v>58</v>
      </c>
      <c r="G48" t="s">
        <v>325</v>
      </c>
      <c r="H48" t="s">
        <v>326</v>
      </c>
      <c r="I48" s="6" t="s">
        <v>49</v>
      </c>
      <c r="J48" s="6" t="s">
        <v>32</v>
      </c>
      <c r="K48" s="6" t="s">
        <v>51</v>
      </c>
      <c r="L48" s="6" t="s">
        <v>50</v>
      </c>
      <c r="M48" s="6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s="6" t="s">
        <v>242</v>
      </c>
      <c r="U48" s="6" t="s">
        <v>54</v>
      </c>
      <c r="V48" s="3">
        <v>33379</v>
      </c>
      <c r="W48" t="s">
        <v>55</v>
      </c>
      <c r="X48" t="s">
        <v>43</v>
      </c>
      <c r="Y48" t="s">
        <v>104</v>
      </c>
      <c r="Z48" s="6">
        <v>2</v>
      </c>
      <c r="AA48" s="6" t="str" cm="1">
        <f t="array" ref="AA48">_xlfn.IFS(Z48&gt;=5,"VERY HIGH",Z48&gt;=4,"HIGH",Z48&gt;=3,"MEDIUM",TRUE,"LOW")</f>
        <v>LOW</v>
      </c>
    </row>
    <row r="49" spans="1:27" x14ac:dyDescent="0.2">
      <c r="A49" s="6" t="s">
        <v>0</v>
      </c>
      <c r="B49" s="6" t="s">
        <v>327</v>
      </c>
      <c r="C49" s="6" t="s">
        <v>328</v>
      </c>
      <c r="D49" s="1">
        <v>43899</v>
      </c>
      <c r="F49" t="s">
        <v>58</v>
      </c>
      <c r="G49" t="s">
        <v>329</v>
      </c>
      <c r="H49" t="s">
        <v>330</v>
      </c>
      <c r="I49" s="6" t="s">
        <v>138</v>
      </c>
      <c r="J49" s="6" t="s">
        <v>32</v>
      </c>
      <c r="K49" s="6" t="s">
        <v>62</v>
      </c>
      <c r="L49" s="6" t="s">
        <v>50</v>
      </c>
      <c r="M49" s="6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s="6" t="s">
        <v>82</v>
      </c>
      <c r="U49" s="6" t="s">
        <v>54</v>
      </c>
      <c r="V49" s="3">
        <v>34481</v>
      </c>
      <c r="W49" t="s">
        <v>73</v>
      </c>
      <c r="X49" t="s">
        <v>103</v>
      </c>
      <c r="Y49" t="s">
        <v>44</v>
      </c>
      <c r="Z49" s="6">
        <v>2</v>
      </c>
      <c r="AA49" s="6" t="str" cm="1">
        <f t="array" ref="AA49">_xlfn.IFS(Z49&gt;=5,"VERY HIGH",Z49&gt;=4,"HIGH",Z49&gt;=3,"MEDIUM",TRUE,"LOW")</f>
        <v>LOW</v>
      </c>
    </row>
    <row r="50" spans="1:27" x14ac:dyDescent="0.2">
      <c r="A50" s="6" t="s">
        <v>0</v>
      </c>
      <c r="B50" s="6" t="s">
        <v>332</v>
      </c>
      <c r="C50" s="6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6" t="s">
        <v>79</v>
      </c>
      <c r="J50" s="6" t="s">
        <v>32</v>
      </c>
      <c r="K50" s="6" t="s">
        <v>62</v>
      </c>
      <c r="L50" s="6" t="s">
        <v>34</v>
      </c>
      <c r="M50" s="6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s="6" t="s">
        <v>225</v>
      </c>
      <c r="U50" s="6" t="s">
        <v>54</v>
      </c>
      <c r="V50" s="3">
        <v>90406</v>
      </c>
      <c r="W50" t="s">
        <v>127</v>
      </c>
      <c r="X50" t="s">
        <v>43</v>
      </c>
      <c r="Y50" t="s">
        <v>44</v>
      </c>
      <c r="Z50" s="6">
        <v>2</v>
      </c>
      <c r="AA50" s="6" t="str" cm="1">
        <f t="array" ref="AA50">_xlfn.IFS(Z50&gt;=5,"VERY HIGH",Z50&gt;=4,"HIGH",Z50&gt;=3,"MEDIUM",TRUE,"LOW")</f>
        <v>LOW</v>
      </c>
    </row>
    <row r="51" spans="1:27" x14ac:dyDescent="0.2">
      <c r="A51" s="6" t="s">
        <v>0</v>
      </c>
      <c r="B51" s="6" t="s">
        <v>337</v>
      </c>
      <c r="C51" s="6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6" t="s">
        <v>167</v>
      </c>
      <c r="J51" s="6" t="s">
        <v>32</v>
      </c>
      <c r="K51" s="6" t="s">
        <v>51</v>
      </c>
      <c r="L51" s="6" t="s">
        <v>50</v>
      </c>
      <c r="M51" s="6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s="6" t="s">
        <v>112</v>
      </c>
      <c r="U51" s="6" t="s">
        <v>54</v>
      </c>
      <c r="V51" s="3">
        <v>95774</v>
      </c>
      <c r="W51" t="s">
        <v>127</v>
      </c>
      <c r="X51" t="s">
        <v>103</v>
      </c>
      <c r="Y51" t="s">
        <v>235</v>
      </c>
      <c r="Z51" s="6">
        <v>2</v>
      </c>
      <c r="AA51" s="6" t="str" cm="1">
        <f t="array" ref="AA51">_xlfn.IFS(Z51&gt;=5,"VERY HIGH",Z51&gt;=4,"HIGH",Z51&gt;=3,"MEDIUM",TRUE,"LOW")</f>
        <v>LOW</v>
      </c>
    </row>
    <row r="52" spans="1:27" x14ac:dyDescent="0.2">
      <c r="A52" s="6" t="s">
        <v>0</v>
      </c>
      <c r="B52" s="6" t="s">
        <v>342</v>
      </c>
      <c r="C52" s="6" t="s">
        <v>343</v>
      </c>
      <c r="D52" s="1">
        <v>43562</v>
      </c>
      <c r="F52" t="s">
        <v>58</v>
      </c>
      <c r="G52" t="s">
        <v>344</v>
      </c>
      <c r="H52" t="s">
        <v>345</v>
      </c>
      <c r="I52" s="6" t="s">
        <v>167</v>
      </c>
      <c r="J52" s="6" t="s">
        <v>32</v>
      </c>
      <c r="K52" s="6" t="s">
        <v>51</v>
      </c>
      <c r="L52" s="6" t="s">
        <v>50</v>
      </c>
      <c r="M52" s="6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s="6" t="s">
        <v>82</v>
      </c>
      <c r="U52" s="6" t="s">
        <v>41</v>
      </c>
      <c r="V52" s="3">
        <v>16058</v>
      </c>
      <c r="W52" t="s">
        <v>127</v>
      </c>
      <c r="X52" t="s">
        <v>43</v>
      </c>
      <c r="Y52" t="s">
        <v>235</v>
      </c>
      <c r="Z52" s="6">
        <v>2</v>
      </c>
      <c r="AA52" s="6" t="str" cm="1">
        <f t="array" ref="AA52">_xlfn.IFS(Z52&gt;=5,"VERY HIGH",Z52&gt;=4,"HIGH",Z52&gt;=3,"MEDIUM",TRUE,"LOW")</f>
        <v>LOW</v>
      </c>
    </row>
    <row r="53" spans="1:27" x14ac:dyDescent="0.2">
      <c r="A53" s="6" t="s">
        <v>0</v>
      </c>
      <c r="B53" s="6" t="s">
        <v>346</v>
      </c>
      <c r="C53" s="6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6" t="s">
        <v>97</v>
      </c>
      <c r="J53" s="6" t="s">
        <v>32</v>
      </c>
      <c r="K53" s="6" t="s">
        <v>62</v>
      </c>
      <c r="L53" s="6" t="s">
        <v>34</v>
      </c>
      <c r="M53" s="6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s="6" t="s">
        <v>351</v>
      </c>
      <c r="U53" s="6" t="s">
        <v>41</v>
      </c>
      <c r="V53" s="3">
        <v>45149</v>
      </c>
      <c r="W53" t="s">
        <v>55</v>
      </c>
      <c r="X53" t="s">
        <v>83</v>
      </c>
      <c r="Y53" t="s">
        <v>44</v>
      </c>
      <c r="Z53" s="6">
        <v>2</v>
      </c>
      <c r="AA53" s="6" t="str" cm="1">
        <f t="array" ref="AA53">_xlfn.IFS(Z53&gt;=5,"VERY HIGH",Z53&gt;=4,"HIGH",Z53&gt;=3,"MEDIUM",TRUE,"LOW")</f>
        <v>LOW</v>
      </c>
    </row>
    <row r="54" spans="1:27" x14ac:dyDescent="0.2">
      <c r="A54" s="6" t="s">
        <v>0</v>
      </c>
      <c r="B54" s="6" t="s">
        <v>352</v>
      </c>
      <c r="C54" s="6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6" t="s">
        <v>117</v>
      </c>
      <c r="J54" s="6" t="s">
        <v>32</v>
      </c>
      <c r="K54" s="6" t="s">
        <v>33</v>
      </c>
      <c r="L54" s="6" t="s">
        <v>50</v>
      </c>
      <c r="M54" s="6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s="6" t="s">
        <v>102</v>
      </c>
      <c r="U54" s="6" t="s">
        <v>41</v>
      </c>
      <c r="V54" s="3">
        <v>96336</v>
      </c>
      <c r="W54" t="s">
        <v>55</v>
      </c>
      <c r="X54" t="s">
        <v>43</v>
      </c>
      <c r="Y54" t="s">
        <v>44</v>
      </c>
      <c r="Z54" s="6">
        <v>2</v>
      </c>
      <c r="AA54" s="6" t="str" cm="1">
        <f t="array" ref="AA54">_xlfn.IFS(Z54&gt;=5,"VERY HIGH",Z54&gt;=4,"HIGH",Z54&gt;=3,"MEDIUM",TRUE,"LOW")</f>
        <v>LOW</v>
      </c>
    </row>
    <row r="55" spans="1:27" x14ac:dyDescent="0.2">
      <c r="A55" s="6" t="s">
        <v>0</v>
      </c>
      <c r="B55" s="6" t="s">
        <v>357</v>
      </c>
      <c r="C55" s="6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6" t="s">
        <v>61</v>
      </c>
      <c r="J55" s="6" t="s">
        <v>197</v>
      </c>
      <c r="K55" s="6" t="s">
        <v>62</v>
      </c>
      <c r="L55" s="6" t="s">
        <v>34</v>
      </c>
      <c r="M55" s="6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s="6" t="s">
        <v>6</v>
      </c>
      <c r="U55" s="6" t="s">
        <v>41</v>
      </c>
      <c r="V55" s="3">
        <v>75671</v>
      </c>
      <c r="W55" t="s">
        <v>92</v>
      </c>
      <c r="X55" t="s">
        <v>43</v>
      </c>
      <c r="Y55" t="s">
        <v>44</v>
      </c>
      <c r="Z55" s="6">
        <v>1</v>
      </c>
      <c r="AA55" s="6" t="str" cm="1">
        <f t="array" ref="AA55">_xlfn.IFS(Z55&gt;=5,"VERY HIGH",Z55&gt;=4,"HIGH",Z55&gt;=3,"MEDIUM",TRUE,"LOW")</f>
        <v>LOW</v>
      </c>
    </row>
    <row r="56" spans="1:27" x14ac:dyDescent="0.2">
      <c r="A56" s="6" t="s">
        <v>0</v>
      </c>
      <c r="B56" s="6" t="s">
        <v>362</v>
      </c>
      <c r="C56" s="6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6" t="s">
        <v>88</v>
      </c>
      <c r="J56" s="6" t="s">
        <v>197</v>
      </c>
      <c r="K56" s="6" t="s">
        <v>62</v>
      </c>
      <c r="L56" s="6" t="s">
        <v>34</v>
      </c>
      <c r="M56" s="6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s="6" t="s">
        <v>149</v>
      </c>
      <c r="U56" s="6" t="s">
        <v>54</v>
      </c>
      <c r="V56" s="3">
        <v>61149</v>
      </c>
      <c r="W56" t="s">
        <v>73</v>
      </c>
      <c r="X56" t="s">
        <v>43</v>
      </c>
      <c r="Y56" t="s">
        <v>44</v>
      </c>
      <c r="Z56" s="6">
        <v>4</v>
      </c>
      <c r="AA56" s="6" t="str" cm="1">
        <f t="array" ref="AA56">_xlfn.IFS(Z56&gt;=5,"VERY HIGH",Z56&gt;=4,"HIGH",Z56&gt;=3,"MEDIUM",TRUE,"LOW")</f>
        <v>HIGH</v>
      </c>
    </row>
    <row r="57" spans="1:27" x14ac:dyDescent="0.2">
      <c r="A57" s="6" t="s">
        <v>0</v>
      </c>
      <c r="B57" s="6" t="s">
        <v>367</v>
      </c>
      <c r="C57" s="6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6" t="s">
        <v>31</v>
      </c>
      <c r="J57" s="6" t="s">
        <v>197</v>
      </c>
      <c r="K57" s="6" t="s">
        <v>62</v>
      </c>
      <c r="L57" s="6" t="s">
        <v>50</v>
      </c>
      <c r="M57" s="6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s="6" t="s">
        <v>162</v>
      </c>
      <c r="U57" s="6" t="s">
        <v>54</v>
      </c>
      <c r="V57" s="3">
        <v>57302</v>
      </c>
      <c r="W57" t="s">
        <v>127</v>
      </c>
      <c r="X57" t="s">
        <v>103</v>
      </c>
      <c r="Y57" t="s">
        <v>235</v>
      </c>
      <c r="Z57" s="6">
        <v>2</v>
      </c>
      <c r="AA57" s="6" t="str" cm="1">
        <f t="array" ref="AA57">_xlfn.IFS(Z57&gt;=5,"VERY HIGH",Z57&gt;=4,"HIGH",Z57&gt;=3,"MEDIUM",TRUE,"LOW")</f>
        <v>LOW</v>
      </c>
    </row>
    <row r="58" spans="1:27" x14ac:dyDescent="0.2">
      <c r="A58" s="6" t="s">
        <v>0</v>
      </c>
      <c r="B58" s="6" t="s">
        <v>372</v>
      </c>
      <c r="C58" s="6" t="s">
        <v>373</v>
      </c>
      <c r="D58" s="1">
        <v>44465</v>
      </c>
      <c r="F58" t="s">
        <v>58</v>
      </c>
      <c r="G58" t="s">
        <v>374</v>
      </c>
      <c r="H58" t="s">
        <v>375</v>
      </c>
      <c r="I58" s="6" t="s">
        <v>132</v>
      </c>
      <c r="J58" s="6" t="s">
        <v>32</v>
      </c>
      <c r="K58" s="6" t="s">
        <v>51</v>
      </c>
      <c r="L58" s="6" t="s">
        <v>63</v>
      </c>
      <c r="M58" s="6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s="6" t="s">
        <v>177</v>
      </c>
      <c r="U58" s="6" t="s">
        <v>54</v>
      </c>
      <c r="V58" s="3">
        <v>42605</v>
      </c>
      <c r="W58" t="s">
        <v>127</v>
      </c>
      <c r="X58" t="s">
        <v>43</v>
      </c>
      <c r="Y58" t="s">
        <v>44</v>
      </c>
      <c r="Z58" s="6">
        <v>1</v>
      </c>
      <c r="AA58" s="6" t="str" cm="1">
        <f t="array" ref="AA58">_xlfn.IFS(Z58&gt;=5,"VERY HIGH",Z58&gt;=4,"HIGH",Z58&gt;=3,"MEDIUM",TRUE,"LOW")</f>
        <v>LOW</v>
      </c>
    </row>
    <row r="59" spans="1:27" x14ac:dyDescent="0.2">
      <c r="A59" s="6" t="s">
        <v>0</v>
      </c>
      <c r="B59" s="6" t="s">
        <v>376</v>
      </c>
      <c r="C59" s="6" t="s">
        <v>377</v>
      </c>
      <c r="D59" s="1">
        <v>43341</v>
      </c>
      <c r="F59" t="s">
        <v>58</v>
      </c>
      <c r="G59" t="s">
        <v>378</v>
      </c>
      <c r="H59" t="s">
        <v>379</v>
      </c>
      <c r="I59" s="6" t="s">
        <v>49</v>
      </c>
      <c r="J59" s="6" t="s">
        <v>32</v>
      </c>
      <c r="K59" s="6" t="s">
        <v>51</v>
      </c>
      <c r="L59" s="6" t="s">
        <v>63</v>
      </c>
      <c r="M59" s="6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s="6" t="s">
        <v>380</v>
      </c>
      <c r="U59" s="6" t="s">
        <v>54</v>
      </c>
      <c r="V59" s="3">
        <v>64036</v>
      </c>
      <c r="W59" t="s">
        <v>73</v>
      </c>
      <c r="X59" t="s">
        <v>74</v>
      </c>
      <c r="Y59" t="s">
        <v>44</v>
      </c>
      <c r="Z59" s="6">
        <v>4</v>
      </c>
      <c r="AA59" s="6" t="str" cm="1">
        <f t="array" ref="AA59">_xlfn.IFS(Z59&gt;=5,"VERY HIGH",Z59&gt;=4,"HIGH",Z59&gt;=3,"MEDIUM",TRUE,"LOW")</f>
        <v>HIGH</v>
      </c>
    </row>
    <row r="60" spans="1:27" x14ac:dyDescent="0.2">
      <c r="A60" s="6" t="s">
        <v>0</v>
      </c>
      <c r="B60" s="6" t="s">
        <v>381</v>
      </c>
      <c r="C60" s="6" t="s">
        <v>382</v>
      </c>
      <c r="D60" s="1">
        <v>44495</v>
      </c>
      <c r="F60" t="s">
        <v>58</v>
      </c>
      <c r="G60" t="s">
        <v>383</v>
      </c>
      <c r="H60" t="s">
        <v>384</v>
      </c>
      <c r="I60" s="6" t="s">
        <v>138</v>
      </c>
      <c r="J60" s="6" t="s">
        <v>32</v>
      </c>
      <c r="K60" s="6" t="s">
        <v>33</v>
      </c>
      <c r="L60" s="6" t="s">
        <v>34</v>
      </c>
      <c r="M60" s="6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s="6" t="s">
        <v>82</v>
      </c>
      <c r="U60" s="6" t="s">
        <v>54</v>
      </c>
      <c r="V60" s="3">
        <v>23173</v>
      </c>
      <c r="W60" t="s">
        <v>42</v>
      </c>
      <c r="X60" t="s">
        <v>43</v>
      </c>
      <c r="Y60" t="s">
        <v>44</v>
      </c>
      <c r="Z60" s="6">
        <v>5</v>
      </c>
      <c r="AA60" s="6" t="str" cm="1">
        <f t="array" ref="AA60">_xlfn.IFS(Z60&gt;=5,"VERY HIGH",Z60&gt;=4,"HIGH",Z60&gt;=3,"MEDIUM",TRUE,"LOW")</f>
        <v>VERY HIGH</v>
      </c>
    </row>
    <row r="61" spans="1:27" x14ac:dyDescent="0.2">
      <c r="A61" s="6" t="s">
        <v>0</v>
      </c>
      <c r="B61" s="6" t="s">
        <v>385</v>
      </c>
      <c r="C61" s="6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6" t="s">
        <v>79</v>
      </c>
      <c r="J61" s="6" t="s">
        <v>32</v>
      </c>
      <c r="K61" s="6" t="s">
        <v>51</v>
      </c>
      <c r="L61" s="6" t="s">
        <v>34</v>
      </c>
      <c r="M61" s="6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s="6" t="s">
        <v>112</v>
      </c>
      <c r="U61" s="6" t="s">
        <v>54</v>
      </c>
      <c r="V61" s="3">
        <v>19665</v>
      </c>
      <c r="W61" t="s">
        <v>73</v>
      </c>
      <c r="X61" t="s">
        <v>43</v>
      </c>
      <c r="Y61" t="s">
        <v>44</v>
      </c>
      <c r="Z61" s="6">
        <v>4</v>
      </c>
      <c r="AA61" s="6" t="str" cm="1">
        <f t="array" ref="AA61">_xlfn.IFS(Z61&gt;=5,"VERY HIGH",Z61&gt;=4,"HIGH",Z61&gt;=3,"MEDIUM",TRUE,"LOW")</f>
        <v>HIGH</v>
      </c>
    </row>
    <row r="62" spans="1:27" x14ac:dyDescent="0.2">
      <c r="A62" s="6" t="s">
        <v>0</v>
      </c>
      <c r="B62" s="6" t="s">
        <v>390</v>
      </c>
      <c r="C62" s="6" t="s">
        <v>391</v>
      </c>
      <c r="D62" s="1">
        <v>45000</v>
      </c>
      <c r="F62" t="s">
        <v>58</v>
      </c>
      <c r="G62" t="s">
        <v>392</v>
      </c>
      <c r="H62" t="s">
        <v>393</v>
      </c>
      <c r="I62" s="6" t="s">
        <v>88</v>
      </c>
      <c r="J62" s="6" t="s">
        <v>32</v>
      </c>
      <c r="K62" s="6" t="s">
        <v>33</v>
      </c>
      <c r="L62" s="6" t="s">
        <v>63</v>
      </c>
      <c r="M62" s="6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s="6" t="s">
        <v>394</v>
      </c>
      <c r="U62" s="6" t="s">
        <v>41</v>
      </c>
      <c r="V62" s="3">
        <v>41161</v>
      </c>
      <c r="W62" t="s">
        <v>73</v>
      </c>
      <c r="X62" t="s">
        <v>103</v>
      </c>
      <c r="Y62" t="s">
        <v>44</v>
      </c>
      <c r="Z62" s="6">
        <v>4</v>
      </c>
      <c r="AA62" s="6" t="str" cm="1">
        <f t="array" ref="AA62">_xlfn.IFS(Z62&gt;=5,"VERY HIGH",Z62&gt;=4,"HIGH",Z62&gt;=3,"MEDIUM",TRUE,"LOW")</f>
        <v>HIGH</v>
      </c>
    </row>
    <row r="63" spans="1:27" x14ac:dyDescent="0.2">
      <c r="A63" s="6" t="s">
        <v>0</v>
      </c>
      <c r="B63" s="6" t="s">
        <v>395</v>
      </c>
      <c r="C63" s="6" t="s">
        <v>396</v>
      </c>
      <c r="D63" s="1">
        <v>44813</v>
      </c>
      <c r="F63" t="s">
        <v>58</v>
      </c>
      <c r="G63" t="s">
        <v>397</v>
      </c>
      <c r="H63" t="s">
        <v>398</v>
      </c>
      <c r="I63" s="6" t="s">
        <v>31</v>
      </c>
      <c r="J63" s="6" t="s">
        <v>32</v>
      </c>
      <c r="K63" s="6" t="s">
        <v>33</v>
      </c>
      <c r="L63" s="6" t="s">
        <v>63</v>
      </c>
      <c r="M63" s="6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s="6" t="s">
        <v>162</v>
      </c>
      <c r="U63" s="6" t="s">
        <v>41</v>
      </c>
      <c r="V63" s="3">
        <v>52499</v>
      </c>
      <c r="W63" t="s">
        <v>127</v>
      </c>
      <c r="X63" t="s">
        <v>74</v>
      </c>
      <c r="Y63" t="s">
        <v>44</v>
      </c>
      <c r="Z63" s="6">
        <v>2</v>
      </c>
      <c r="AA63" s="6" t="str" cm="1">
        <f t="array" ref="AA63">_xlfn.IFS(Z63&gt;=5,"VERY HIGH",Z63&gt;=4,"HIGH",Z63&gt;=3,"MEDIUM",TRUE,"LOW")</f>
        <v>LOW</v>
      </c>
    </row>
    <row r="64" spans="1:27" x14ac:dyDescent="0.2">
      <c r="A64" s="6" t="s">
        <v>0</v>
      </c>
      <c r="B64" s="6" t="s">
        <v>399</v>
      </c>
      <c r="C64" s="6" t="s">
        <v>400</v>
      </c>
      <c r="D64" s="1">
        <v>44624</v>
      </c>
      <c r="F64" t="s">
        <v>58</v>
      </c>
      <c r="G64" t="s">
        <v>401</v>
      </c>
      <c r="H64" t="s">
        <v>402</v>
      </c>
      <c r="I64" s="6" t="s">
        <v>49</v>
      </c>
      <c r="J64" s="6" t="s">
        <v>32</v>
      </c>
      <c r="K64" s="6" t="s">
        <v>51</v>
      </c>
      <c r="L64" s="6" t="s">
        <v>50</v>
      </c>
      <c r="M64" s="6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s="6" t="s">
        <v>82</v>
      </c>
      <c r="U64" s="6" t="s">
        <v>41</v>
      </c>
      <c r="V64" s="3">
        <v>25634</v>
      </c>
      <c r="W64" t="s">
        <v>92</v>
      </c>
      <c r="X64" t="s">
        <v>103</v>
      </c>
      <c r="Y64" t="s">
        <v>44</v>
      </c>
      <c r="Z64" s="6">
        <v>2</v>
      </c>
      <c r="AA64" s="6" t="str" cm="1">
        <f t="array" ref="AA64">_xlfn.IFS(Z64&gt;=5,"VERY HIGH",Z64&gt;=4,"HIGH",Z64&gt;=3,"MEDIUM",TRUE,"LOW")</f>
        <v>LOW</v>
      </c>
    </row>
    <row r="65" spans="1:27" x14ac:dyDescent="0.2">
      <c r="A65" s="6" t="s">
        <v>0</v>
      </c>
      <c r="B65" s="6" t="s">
        <v>403</v>
      </c>
      <c r="C65" s="6" t="s">
        <v>206</v>
      </c>
      <c r="D65" s="1">
        <v>43507</v>
      </c>
      <c r="F65" t="s">
        <v>58</v>
      </c>
      <c r="G65" t="s">
        <v>404</v>
      </c>
      <c r="H65" t="s">
        <v>405</v>
      </c>
      <c r="I65" s="6" t="s">
        <v>138</v>
      </c>
      <c r="J65" s="6" t="s">
        <v>32</v>
      </c>
      <c r="K65" s="6" t="s">
        <v>51</v>
      </c>
      <c r="L65" s="6" t="s">
        <v>50</v>
      </c>
      <c r="M65" s="6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s="6" t="s">
        <v>183</v>
      </c>
      <c r="U65" s="6" t="s">
        <v>41</v>
      </c>
      <c r="V65" s="3">
        <v>37965</v>
      </c>
      <c r="W65" t="s">
        <v>55</v>
      </c>
      <c r="X65" t="s">
        <v>103</v>
      </c>
      <c r="Y65" t="s">
        <v>44</v>
      </c>
      <c r="Z65" s="6">
        <v>2</v>
      </c>
      <c r="AA65" s="6" t="str" cm="1">
        <f t="array" ref="AA65">_xlfn.IFS(Z65&gt;=5,"VERY HIGH",Z65&gt;=4,"HIGH",Z65&gt;=3,"MEDIUM",TRUE,"LOW")</f>
        <v>LOW</v>
      </c>
    </row>
    <row r="66" spans="1:27" x14ac:dyDescent="0.2">
      <c r="A66" s="6" t="s">
        <v>0</v>
      </c>
      <c r="B66" s="6" t="s">
        <v>406</v>
      </c>
      <c r="C66" s="6" t="s">
        <v>407</v>
      </c>
      <c r="D66" s="1">
        <v>44222</v>
      </c>
      <c r="F66" t="s">
        <v>58</v>
      </c>
      <c r="G66" t="s">
        <v>408</v>
      </c>
      <c r="H66" t="s">
        <v>409</v>
      </c>
      <c r="I66" s="6" t="s">
        <v>117</v>
      </c>
      <c r="J66" s="6" t="s">
        <v>32</v>
      </c>
      <c r="K66" s="6" t="s">
        <v>33</v>
      </c>
      <c r="L66" s="6" t="s">
        <v>63</v>
      </c>
      <c r="M66" s="6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s="6" t="s">
        <v>91</v>
      </c>
      <c r="U66" s="6" t="s">
        <v>54</v>
      </c>
      <c r="V66" s="3">
        <v>39504</v>
      </c>
      <c r="W66" t="s">
        <v>42</v>
      </c>
      <c r="X66" t="s">
        <v>43</v>
      </c>
      <c r="Y66" t="s">
        <v>44</v>
      </c>
      <c r="Z66" s="6">
        <v>5</v>
      </c>
      <c r="AA66" s="6" t="str" cm="1">
        <f t="array" ref="AA66">_xlfn.IFS(Z66&gt;=5,"VERY HIGH",Z66&gt;=4,"HIGH",Z66&gt;=3,"MEDIUM",TRUE,"LOW")</f>
        <v>VERY HIGH</v>
      </c>
    </row>
    <row r="67" spans="1:27" x14ac:dyDescent="0.2">
      <c r="A67" s="6" t="s">
        <v>0</v>
      </c>
      <c r="B67" s="6" t="s">
        <v>410</v>
      </c>
      <c r="C67" s="6" t="s">
        <v>411</v>
      </c>
      <c r="D67" s="1">
        <v>43795</v>
      </c>
      <c r="F67" t="s">
        <v>58</v>
      </c>
      <c r="G67" t="s">
        <v>412</v>
      </c>
      <c r="H67" t="s">
        <v>413</v>
      </c>
      <c r="I67" s="6" t="s">
        <v>61</v>
      </c>
      <c r="J67" s="6" t="s">
        <v>32</v>
      </c>
      <c r="K67" s="6" t="s">
        <v>62</v>
      </c>
      <c r="L67" s="6" t="s">
        <v>34</v>
      </c>
      <c r="M67" s="6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s="6" t="s">
        <v>72</v>
      </c>
      <c r="U67" s="6" t="s">
        <v>54</v>
      </c>
      <c r="V67" s="3">
        <v>31676</v>
      </c>
      <c r="W67" t="s">
        <v>127</v>
      </c>
      <c r="X67" t="s">
        <v>83</v>
      </c>
      <c r="Y67" t="s">
        <v>44</v>
      </c>
      <c r="Z67" s="6">
        <v>1</v>
      </c>
      <c r="AA67" s="6" t="str" cm="1">
        <f t="array" ref="AA67">_xlfn.IFS(Z67&gt;=5,"VERY HIGH",Z67&gt;=4,"HIGH",Z67&gt;=3,"MEDIUM",TRUE,"LOW")</f>
        <v>LOW</v>
      </c>
    </row>
    <row r="68" spans="1:27" x14ac:dyDescent="0.2">
      <c r="A68" s="6" t="s">
        <v>0</v>
      </c>
      <c r="B68" s="6" t="s">
        <v>414</v>
      </c>
      <c r="C68" s="6" t="s">
        <v>415</v>
      </c>
      <c r="D68" s="1">
        <v>43661</v>
      </c>
      <c r="F68" t="s">
        <v>58</v>
      </c>
      <c r="G68" t="s">
        <v>416</v>
      </c>
      <c r="H68" t="s">
        <v>417</v>
      </c>
      <c r="I68" s="6" t="s">
        <v>167</v>
      </c>
      <c r="J68" s="6" t="s">
        <v>32</v>
      </c>
      <c r="K68" s="6" t="s">
        <v>62</v>
      </c>
      <c r="L68" s="6" t="s">
        <v>34</v>
      </c>
      <c r="M68" s="6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s="6" t="s">
        <v>418</v>
      </c>
      <c r="U68" s="6" t="s">
        <v>54</v>
      </c>
      <c r="V68" s="3">
        <v>28784</v>
      </c>
      <c r="W68" t="s">
        <v>127</v>
      </c>
      <c r="X68" t="s">
        <v>43</v>
      </c>
      <c r="Y68" t="s">
        <v>44</v>
      </c>
      <c r="Z68" s="6">
        <v>5</v>
      </c>
      <c r="AA68" s="6" t="str" cm="1">
        <f t="array" ref="AA68">_xlfn.IFS(Z68&gt;=5,"VERY HIGH",Z68&gt;=4,"HIGH",Z68&gt;=3,"MEDIUM",TRUE,"LOW")</f>
        <v>VERY HIGH</v>
      </c>
    </row>
    <row r="69" spans="1:27" x14ac:dyDescent="0.2">
      <c r="A69" s="6" t="s">
        <v>0</v>
      </c>
      <c r="B69" s="6" t="s">
        <v>419</v>
      </c>
      <c r="C69" s="6" t="s">
        <v>420</v>
      </c>
      <c r="D69" s="1">
        <v>44000</v>
      </c>
      <c r="F69" t="s">
        <v>58</v>
      </c>
      <c r="G69" t="s">
        <v>421</v>
      </c>
      <c r="H69" t="s">
        <v>422</v>
      </c>
      <c r="I69" s="6" t="s">
        <v>132</v>
      </c>
      <c r="J69" s="6" t="s">
        <v>32</v>
      </c>
      <c r="K69" s="6" t="s">
        <v>33</v>
      </c>
      <c r="L69" s="6" t="s">
        <v>63</v>
      </c>
      <c r="M69" s="6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s="6" t="s">
        <v>102</v>
      </c>
      <c r="U69" s="6" t="s">
        <v>54</v>
      </c>
      <c r="V69" s="3">
        <v>90983</v>
      </c>
      <c r="W69" t="s">
        <v>92</v>
      </c>
      <c r="X69" t="s">
        <v>74</v>
      </c>
      <c r="Y69" t="s">
        <v>44</v>
      </c>
      <c r="Z69" s="6">
        <v>4</v>
      </c>
      <c r="AA69" s="6" t="str" cm="1">
        <f t="array" ref="AA69">_xlfn.IFS(Z69&gt;=5,"VERY HIGH",Z69&gt;=4,"HIGH",Z69&gt;=3,"MEDIUM",TRUE,"LOW")</f>
        <v>HIGH</v>
      </c>
    </row>
    <row r="70" spans="1:27" x14ac:dyDescent="0.2">
      <c r="A70" s="6" t="s">
        <v>0</v>
      </c>
      <c r="B70" s="6" t="s">
        <v>423</v>
      </c>
      <c r="C70" s="6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6" t="s">
        <v>79</v>
      </c>
      <c r="J70" s="6" t="s">
        <v>32</v>
      </c>
      <c r="K70" s="6" t="s">
        <v>51</v>
      </c>
      <c r="L70" s="6" t="s">
        <v>63</v>
      </c>
      <c r="M70" s="6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s="6" t="s">
        <v>82</v>
      </c>
      <c r="U70" s="6" t="s">
        <v>54</v>
      </c>
      <c r="V70" s="3">
        <v>1115</v>
      </c>
      <c r="W70" t="s">
        <v>73</v>
      </c>
      <c r="X70" t="s">
        <v>83</v>
      </c>
      <c r="Y70" t="s">
        <v>44</v>
      </c>
      <c r="Z70" s="6">
        <v>4</v>
      </c>
      <c r="AA70" s="6" t="str" cm="1">
        <f t="array" ref="AA70">_xlfn.IFS(Z70&gt;=5,"VERY HIGH",Z70&gt;=4,"HIGH",Z70&gt;=3,"MEDIUM",TRUE,"LOW")</f>
        <v>HIGH</v>
      </c>
    </row>
    <row r="71" spans="1:27" x14ac:dyDescent="0.2">
      <c r="A71" s="6" t="s">
        <v>0</v>
      </c>
      <c r="B71" s="6" t="s">
        <v>428</v>
      </c>
      <c r="C71" s="6" t="s">
        <v>429</v>
      </c>
      <c r="D71" s="1">
        <v>44532</v>
      </c>
      <c r="F71" t="s">
        <v>58</v>
      </c>
      <c r="G71" t="s">
        <v>430</v>
      </c>
      <c r="H71" t="s">
        <v>431</v>
      </c>
      <c r="I71" s="6" t="s">
        <v>97</v>
      </c>
      <c r="J71" s="6" t="s">
        <v>32</v>
      </c>
      <c r="K71" s="6" t="s">
        <v>33</v>
      </c>
      <c r="L71" s="6" t="s">
        <v>50</v>
      </c>
      <c r="M71" s="6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s="6" t="s">
        <v>394</v>
      </c>
      <c r="U71" s="6" t="s">
        <v>54</v>
      </c>
      <c r="V71" s="3">
        <v>72233</v>
      </c>
      <c r="W71" t="s">
        <v>73</v>
      </c>
      <c r="X71" t="s">
        <v>43</v>
      </c>
      <c r="Y71" t="s">
        <v>44</v>
      </c>
      <c r="Z71" s="6">
        <v>5</v>
      </c>
      <c r="AA71" s="6" t="str" cm="1">
        <f t="array" ref="AA71">_xlfn.IFS(Z71&gt;=5,"VERY HIGH",Z71&gt;=4,"HIGH",Z71&gt;=3,"MEDIUM",TRUE,"LOW")</f>
        <v>VERY HIGH</v>
      </c>
    </row>
    <row r="72" spans="1:27" x14ac:dyDescent="0.2">
      <c r="A72" s="6" t="s">
        <v>0</v>
      </c>
      <c r="B72" s="6" t="s">
        <v>432</v>
      </c>
      <c r="C72" s="6" t="s">
        <v>433</v>
      </c>
      <c r="D72" s="1">
        <v>44538</v>
      </c>
      <c r="F72" t="s">
        <v>58</v>
      </c>
      <c r="G72" t="s">
        <v>434</v>
      </c>
      <c r="H72" t="s">
        <v>435</v>
      </c>
      <c r="I72" s="6" t="s">
        <v>79</v>
      </c>
      <c r="J72" s="6" t="s">
        <v>32</v>
      </c>
      <c r="K72" s="6" t="s">
        <v>51</v>
      </c>
      <c r="L72" s="6" t="s">
        <v>34</v>
      </c>
      <c r="M72" s="6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s="6" t="s">
        <v>162</v>
      </c>
      <c r="U72" s="6" t="s">
        <v>41</v>
      </c>
      <c r="V72" s="3">
        <v>58210</v>
      </c>
      <c r="W72" t="s">
        <v>55</v>
      </c>
      <c r="X72" t="s">
        <v>43</v>
      </c>
      <c r="Y72" t="s">
        <v>44</v>
      </c>
      <c r="Z72" s="6">
        <v>1</v>
      </c>
      <c r="AA72" s="6" t="str" cm="1">
        <f t="array" ref="AA72">_xlfn.IFS(Z72&gt;=5,"VERY HIGH",Z72&gt;=4,"HIGH",Z72&gt;=3,"MEDIUM",TRUE,"LOW")</f>
        <v>LOW</v>
      </c>
    </row>
    <row r="73" spans="1:27" x14ac:dyDescent="0.2">
      <c r="A73" s="6" t="s">
        <v>0</v>
      </c>
      <c r="B73" s="6" t="s">
        <v>436</v>
      </c>
      <c r="C73" s="6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6" t="s">
        <v>167</v>
      </c>
      <c r="J73" s="6" t="s">
        <v>32</v>
      </c>
      <c r="K73" s="6" t="s">
        <v>62</v>
      </c>
      <c r="L73" s="6" t="s">
        <v>50</v>
      </c>
      <c r="M73" s="6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s="6" t="s">
        <v>82</v>
      </c>
      <c r="U73" s="6" t="s">
        <v>41</v>
      </c>
      <c r="V73" s="3">
        <v>36087</v>
      </c>
      <c r="W73" t="s">
        <v>42</v>
      </c>
      <c r="X73" t="s">
        <v>43</v>
      </c>
      <c r="Y73" t="s">
        <v>44</v>
      </c>
      <c r="Z73" s="6">
        <v>2</v>
      </c>
      <c r="AA73" s="6" t="str" cm="1">
        <f t="array" ref="AA73">_xlfn.IFS(Z73&gt;=5,"VERY HIGH",Z73&gt;=4,"HIGH",Z73&gt;=3,"MEDIUM",TRUE,"LOW")</f>
        <v>LOW</v>
      </c>
    </row>
    <row r="74" spans="1:27" x14ac:dyDescent="0.2">
      <c r="A74" s="6" t="s">
        <v>0</v>
      </c>
      <c r="B74" s="6" t="s">
        <v>441</v>
      </c>
      <c r="C74" s="6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6" t="s">
        <v>97</v>
      </c>
      <c r="J74" s="6" t="s">
        <v>32</v>
      </c>
      <c r="K74" s="6" t="s">
        <v>51</v>
      </c>
      <c r="L74" s="6" t="s">
        <v>34</v>
      </c>
      <c r="M74" s="6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s="6" t="s">
        <v>102</v>
      </c>
      <c r="U74" s="6" t="s">
        <v>41</v>
      </c>
      <c r="V74" s="3">
        <v>61457</v>
      </c>
      <c r="W74" t="s">
        <v>127</v>
      </c>
      <c r="X74" t="s">
        <v>43</v>
      </c>
      <c r="Y74" t="s">
        <v>44</v>
      </c>
      <c r="Z74" s="6">
        <v>5</v>
      </c>
      <c r="AA74" s="6" t="str" cm="1">
        <f t="array" ref="AA74">_xlfn.IFS(Z74&gt;=5,"VERY HIGH",Z74&gt;=4,"HIGH",Z74&gt;=3,"MEDIUM",TRUE,"LOW")</f>
        <v>VERY HIGH</v>
      </c>
    </row>
    <row r="75" spans="1:27" x14ac:dyDescent="0.2">
      <c r="A75" s="6" t="s">
        <v>0</v>
      </c>
      <c r="B75" s="6" t="s">
        <v>319</v>
      </c>
      <c r="C75" s="6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6" t="s">
        <v>117</v>
      </c>
      <c r="J75" s="6" t="s">
        <v>32</v>
      </c>
      <c r="K75" s="6" t="s">
        <v>62</v>
      </c>
      <c r="L75" s="6" t="s">
        <v>63</v>
      </c>
      <c r="M75" s="6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s="6" t="s">
        <v>286</v>
      </c>
      <c r="U75" s="6" t="s">
        <v>41</v>
      </c>
      <c r="V75" s="3">
        <v>80424</v>
      </c>
      <c r="W75" t="s">
        <v>42</v>
      </c>
      <c r="X75" t="s">
        <v>103</v>
      </c>
      <c r="Y75" t="s">
        <v>44</v>
      </c>
      <c r="Z75" s="6">
        <v>1</v>
      </c>
      <c r="AA75" s="6" t="str" cm="1">
        <f t="array" ref="AA75">_xlfn.IFS(Z75&gt;=5,"VERY HIGH",Z75&gt;=4,"HIGH",Z75&gt;=3,"MEDIUM",TRUE,"LOW")</f>
        <v>LOW</v>
      </c>
    </row>
    <row r="76" spans="1:27" x14ac:dyDescent="0.2">
      <c r="A76" s="6" t="s">
        <v>0</v>
      </c>
      <c r="B76" s="6" t="s">
        <v>450</v>
      </c>
      <c r="C76" s="6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6" t="s">
        <v>61</v>
      </c>
      <c r="J76" s="6" t="s">
        <v>197</v>
      </c>
      <c r="K76" s="6" t="s">
        <v>51</v>
      </c>
      <c r="L76" s="6" t="s">
        <v>50</v>
      </c>
      <c r="M76" s="6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s="6" t="s">
        <v>102</v>
      </c>
      <c r="U76" s="6" t="s">
        <v>54</v>
      </c>
      <c r="V76" s="3">
        <v>6240</v>
      </c>
      <c r="W76" t="s">
        <v>73</v>
      </c>
      <c r="X76" t="s">
        <v>43</v>
      </c>
      <c r="Y76" t="s">
        <v>44</v>
      </c>
      <c r="Z76" s="6">
        <v>4</v>
      </c>
      <c r="AA76" s="6" t="str" cm="1">
        <f t="array" ref="AA76">_xlfn.IFS(Z76&gt;=5,"VERY HIGH",Z76&gt;=4,"HIGH",Z76&gt;=3,"MEDIUM",TRUE,"LOW")</f>
        <v>HIGH</v>
      </c>
    </row>
    <row r="77" spans="1:27" x14ac:dyDescent="0.2">
      <c r="A77" s="6" t="s">
        <v>0</v>
      </c>
      <c r="B77" s="6" t="s">
        <v>455</v>
      </c>
      <c r="C77" s="6" t="s">
        <v>456</v>
      </c>
      <c r="D77" s="1">
        <v>43739</v>
      </c>
      <c r="F77" t="s">
        <v>58</v>
      </c>
      <c r="G77" t="s">
        <v>457</v>
      </c>
      <c r="H77" t="s">
        <v>458</v>
      </c>
      <c r="I77" s="6" t="s">
        <v>88</v>
      </c>
      <c r="J77" s="6" t="s">
        <v>32</v>
      </c>
      <c r="K77" s="6" t="s">
        <v>62</v>
      </c>
      <c r="L77" s="6" t="s">
        <v>34</v>
      </c>
      <c r="M77" s="6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s="6" t="s">
        <v>459</v>
      </c>
      <c r="U77" s="6" t="s">
        <v>54</v>
      </c>
      <c r="V77" s="3">
        <v>49914</v>
      </c>
      <c r="W77" t="s">
        <v>42</v>
      </c>
      <c r="X77" t="s">
        <v>83</v>
      </c>
      <c r="Y77" t="s">
        <v>44</v>
      </c>
      <c r="Z77" s="6">
        <v>1</v>
      </c>
      <c r="AA77" s="6" t="str" cm="1">
        <f t="array" ref="AA77">_xlfn.IFS(Z77&gt;=5,"VERY HIGH",Z77&gt;=4,"HIGH",Z77&gt;=3,"MEDIUM",TRUE,"LOW")</f>
        <v>LOW</v>
      </c>
    </row>
    <row r="78" spans="1:27" x14ac:dyDescent="0.2">
      <c r="A78" s="6" t="s">
        <v>0</v>
      </c>
      <c r="B78" s="6" t="s">
        <v>460</v>
      </c>
      <c r="C78" s="6" t="s">
        <v>461</v>
      </c>
      <c r="D78" s="1">
        <v>44581</v>
      </c>
      <c r="F78" t="s">
        <v>58</v>
      </c>
      <c r="G78" t="s">
        <v>462</v>
      </c>
      <c r="H78" t="s">
        <v>463</v>
      </c>
      <c r="I78" s="6" t="s">
        <v>31</v>
      </c>
      <c r="J78" s="6" t="s">
        <v>32</v>
      </c>
      <c r="K78" s="6" t="s">
        <v>51</v>
      </c>
      <c r="L78" s="6" t="s">
        <v>50</v>
      </c>
      <c r="M78" s="6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s="6" t="s">
        <v>242</v>
      </c>
      <c r="U78" s="6" t="s">
        <v>54</v>
      </c>
      <c r="V78" s="3">
        <v>71319</v>
      </c>
      <c r="W78" t="s">
        <v>73</v>
      </c>
      <c r="X78" t="s">
        <v>74</v>
      </c>
      <c r="Y78" t="s">
        <v>44</v>
      </c>
      <c r="Z78" s="6">
        <v>4</v>
      </c>
      <c r="AA78" s="6" t="str" cm="1">
        <f t="array" ref="AA78">_xlfn.IFS(Z78&gt;=5,"VERY HIGH",Z78&gt;=4,"HIGH",Z78&gt;=3,"MEDIUM",TRUE,"LOW")</f>
        <v>HIGH</v>
      </c>
    </row>
    <row r="79" spans="1:27" x14ac:dyDescent="0.2">
      <c r="A79" s="6" t="s">
        <v>0</v>
      </c>
      <c r="B79" s="6" t="s">
        <v>464</v>
      </c>
      <c r="C79" s="6" t="s">
        <v>465</v>
      </c>
      <c r="D79" s="1">
        <v>44479</v>
      </c>
      <c r="F79" t="s">
        <v>58</v>
      </c>
      <c r="G79" t="s">
        <v>466</v>
      </c>
      <c r="H79" t="s">
        <v>467</v>
      </c>
      <c r="I79" s="6" t="s">
        <v>132</v>
      </c>
      <c r="J79" s="6" t="s">
        <v>32</v>
      </c>
      <c r="K79" s="6" t="s">
        <v>62</v>
      </c>
      <c r="L79" s="6" t="s">
        <v>63</v>
      </c>
      <c r="M79" s="6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s="6" t="s">
        <v>82</v>
      </c>
      <c r="U79" s="6" t="s">
        <v>54</v>
      </c>
      <c r="V79" s="3">
        <v>27992</v>
      </c>
      <c r="W79" t="s">
        <v>55</v>
      </c>
      <c r="X79" t="s">
        <v>83</v>
      </c>
      <c r="Y79" t="s">
        <v>44</v>
      </c>
      <c r="Z79" s="6">
        <v>2</v>
      </c>
      <c r="AA79" s="6" t="str" cm="1">
        <f t="array" ref="AA79">_xlfn.IFS(Z79&gt;=5,"VERY HIGH",Z79&gt;=4,"HIGH",Z79&gt;=3,"MEDIUM",TRUE,"LOW")</f>
        <v>LOW</v>
      </c>
    </row>
    <row r="80" spans="1:27" x14ac:dyDescent="0.2">
      <c r="A80" s="6" t="s">
        <v>0</v>
      </c>
      <c r="B80" s="6" t="s">
        <v>468</v>
      </c>
      <c r="C80" s="6" t="s">
        <v>469</v>
      </c>
      <c r="D80" s="1">
        <v>44072</v>
      </c>
      <c r="F80" t="s">
        <v>58</v>
      </c>
      <c r="G80" t="s">
        <v>470</v>
      </c>
      <c r="H80" t="s">
        <v>471</v>
      </c>
      <c r="I80" s="6" t="s">
        <v>49</v>
      </c>
      <c r="J80" s="6" t="s">
        <v>32</v>
      </c>
      <c r="K80" s="6" t="s">
        <v>33</v>
      </c>
      <c r="L80" s="6" t="s">
        <v>63</v>
      </c>
      <c r="M80" s="6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s="6" t="s">
        <v>351</v>
      </c>
      <c r="U80" s="6" t="s">
        <v>54</v>
      </c>
      <c r="V80" s="3">
        <v>72324</v>
      </c>
      <c r="W80" t="s">
        <v>55</v>
      </c>
      <c r="X80" t="s">
        <v>43</v>
      </c>
      <c r="Y80" t="s">
        <v>44</v>
      </c>
      <c r="Z80" s="6">
        <v>1</v>
      </c>
      <c r="AA80" s="6" t="str" cm="1">
        <f t="array" ref="AA80">_xlfn.IFS(Z80&gt;=5,"VERY HIGH",Z80&gt;=4,"HIGH",Z80&gt;=3,"MEDIUM",TRUE,"LOW")</f>
        <v>LOW</v>
      </c>
    </row>
    <row r="81" spans="1:27" x14ac:dyDescent="0.2">
      <c r="A81" s="6" t="s">
        <v>0</v>
      </c>
      <c r="B81" s="6" t="s">
        <v>472</v>
      </c>
      <c r="C81" s="6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6" t="s">
        <v>138</v>
      </c>
      <c r="J81" s="6" t="s">
        <v>32</v>
      </c>
      <c r="K81" s="6" t="s">
        <v>62</v>
      </c>
      <c r="L81" s="6" t="s">
        <v>63</v>
      </c>
      <c r="M81" s="6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s="6" t="s">
        <v>102</v>
      </c>
      <c r="U81" s="6" t="s">
        <v>54</v>
      </c>
      <c r="V81" s="3">
        <v>38740</v>
      </c>
      <c r="W81" t="s">
        <v>73</v>
      </c>
      <c r="X81" t="s">
        <v>83</v>
      </c>
      <c r="Y81" t="s">
        <v>44</v>
      </c>
      <c r="Z81" s="6">
        <v>2</v>
      </c>
      <c r="AA81" s="6" t="str" cm="1">
        <f t="array" ref="AA81">_xlfn.IFS(Z81&gt;=5,"VERY HIGH",Z81&gt;=4,"HIGH",Z81&gt;=3,"MEDIUM",TRUE,"LOW")</f>
        <v>LOW</v>
      </c>
    </row>
    <row r="82" spans="1:27" x14ac:dyDescent="0.2">
      <c r="A82" s="6" t="s">
        <v>0</v>
      </c>
      <c r="B82" s="6" t="s">
        <v>477</v>
      </c>
      <c r="C82" s="6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6" t="s">
        <v>79</v>
      </c>
      <c r="J82" s="6" t="s">
        <v>32</v>
      </c>
      <c r="K82" s="6" t="s">
        <v>62</v>
      </c>
      <c r="L82" s="6" t="s">
        <v>50</v>
      </c>
      <c r="M82" s="6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s="6" t="s">
        <v>242</v>
      </c>
      <c r="U82" s="6" t="s">
        <v>54</v>
      </c>
      <c r="V82" s="3">
        <v>9437</v>
      </c>
      <c r="W82" t="s">
        <v>42</v>
      </c>
      <c r="X82" t="s">
        <v>74</v>
      </c>
      <c r="Y82" t="s">
        <v>44</v>
      </c>
      <c r="Z82" s="6">
        <v>4</v>
      </c>
      <c r="AA82" s="6" t="str" cm="1">
        <f t="array" ref="AA82">_xlfn.IFS(Z82&gt;=5,"VERY HIGH",Z82&gt;=4,"HIGH",Z82&gt;=3,"MEDIUM",TRUE,"LOW")</f>
        <v>HIGH</v>
      </c>
    </row>
    <row r="83" spans="1:27" x14ac:dyDescent="0.2">
      <c r="A83" s="6" t="s">
        <v>0</v>
      </c>
      <c r="B83" s="6" t="s">
        <v>482</v>
      </c>
      <c r="C83" s="6" t="s">
        <v>373</v>
      </c>
      <c r="D83" s="1">
        <v>44390</v>
      </c>
      <c r="F83" t="s">
        <v>58</v>
      </c>
      <c r="G83" t="s">
        <v>483</v>
      </c>
      <c r="H83" t="s">
        <v>484</v>
      </c>
      <c r="I83" s="6" t="s">
        <v>31</v>
      </c>
      <c r="J83" s="6" t="s">
        <v>32</v>
      </c>
      <c r="K83" s="6" t="s">
        <v>62</v>
      </c>
      <c r="L83" s="6" t="s">
        <v>63</v>
      </c>
      <c r="M83" s="6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s="6" t="s">
        <v>82</v>
      </c>
      <c r="U83" s="6" t="s">
        <v>54</v>
      </c>
      <c r="V83" s="3">
        <v>9385</v>
      </c>
      <c r="W83" t="s">
        <v>127</v>
      </c>
      <c r="X83" t="s">
        <v>74</v>
      </c>
      <c r="Y83" t="s">
        <v>44</v>
      </c>
      <c r="Z83" s="6">
        <v>5</v>
      </c>
      <c r="AA83" s="6" t="str" cm="1">
        <f t="array" ref="AA83">_xlfn.IFS(Z83&gt;=5,"VERY HIGH",Z83&gt;=4,"HIGH",Z83&gt;=3,"MEDIUM",TRUE,"LOW")</f>
        <v>VERY HIGH</v>
      </c>
    </row>
    <row r="84" spans="1:27" x14ac:dyDescent="0.2">
      <c r="A84" s="6" t="s">
        <v>0</v>
      </c>
      <c r="B84" s="6" t="s">
        <v>485</v>
      </c>
      <c r="C84" s="6" t="s">
        <v>486</v>
      </c>
      <c r="D84" s="1">
        <v>44300</v>
      </c>
      <c r="F84" t="s">
        <v>58</v>
      </c>
      <c r="G84" t="s">
        <v>487</v>
      </c>
      <c r="H84" t="s">
        <v>488</v>
      </c>
      <c r="I84" s="6" t="s">
        <v>88</v>
      </c>
      <c r="J84" s="6" t="s">
        <v>32</v>
      </c>
      <c r="K84" s="6" t="s">
        <v>51</v>
      </c>
      <c r="L84" s="6" t="s">
        <v>34</v>
      </c>
      <c r="M84" s="6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s="6" t="s">
        <v>489</v>
      </c>
      <c r="U84" s="6" t="s">
        <v>41</v>
      </c>
      <c r="V84" s="3">
        <v>75993</v>
      </c>
      <c r="W84" t="s">
        <v>92</v>
      </c>
      <c r="X84" t="s">
        <v>83</v>
      </c>
      <c r="Y84" t="s">
        <v>44</v>
      </c>
      <c r="Z84" s="6">
        <v>2</v>
      </c>
      <c r="AA84" s="6" t="str" cm="1">
        <f t="array" ref="AA84">_xlfn.IFS(Z84&gt;=5,"VERY HIGH",Z84&gt;=4,"HIGH",Z84&gt;=3,"MEDIUM",TRUE,"LOW")</f>
        <v>LOW</v>
      </c>
    </row>
    <row r="85" spans="1:27" x14ac:dyDescent="0.2">
      <c r="A85" s="6" t="s">
        <v>0</v>
      </c>
      <c r="B85" s="6" t="s">
        <v>490</v>
      </c>
      <c r="C85" s="6" t="s">
        <v>338</v>
      </c>
      <c r="D85" s="1">
        <v>43871</v>
      </c>
      <c r="F85" t="s">
        <v>58</v>
      </c>
      <c r="G85" t="s">
        <v>491</v>
      </c>
      <c r="H85" t="s">
        <v>492</v>
      </c>
      <c r="I85" s="6" t="s">
        <v>167</v>
      </c>
      <c r="J85" s="6" t="s">
        <v>32</v>
      </c>
      <c r="K85" s="6" t="s">
        <v>51</v>
      </c>
      <c r="L85" s="6" t="s">
        <v>50</v>
      </c>
      <c r="M85" s="6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s="6" t="s">
        <v>82</v>
      </c>
      <c r="U85" s="6" t="s">
        <v>41</v>
      </c>
      <c r="V85" s="3">
        <v>65329</v>
      </c>
      <c r="W85" t="s">
        <v>55</v>
      </c>
      <c r="X85" t="s">
        <v>83</v>
      </c>
      <c r="Y85" t="s">
        <v>44</v>
      </c>
      <c r="Z85" s="6">
        <v>2</v>
      </c>
      <c r="AA85" s="6" t="str" cm="1">
        <f t="array" ref="AA85">_xlfn.IFS(Z85&gt;=5,"VERY HIGH",Z85&gt;=4,"HIGH",Z85&gt;=3,"MEDIUM",TRUE,"LOW")</f>
        <v>LOW</v>
      </c>
    </row>
    <row r="86" spans="1:27" x14ac:dyDescent="0.2">
      <c r="A86" s="6" t="s">
        <v>0</v>
      </c>
      <c r="B86" s="6" t="s">
        <v>493</v>
      </c>
      <c r="C86" s="6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6" t="s">
        <v>97</v>
      </c>
      <c r="J86" s="6" t="s">
        <v>32</v>
      </c>
      <c r="K86" s="6" t="s">
        <v>51</v>
      </c>
      <c r="L86" s="6" t="s">
        <v>63</v>
      </c>
      <c r="M86" s="6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s="6" t="s">
        <v>183</v>
      </c>
      <c r="U86" s="6" t="s">
        <v>41</v>
      </c>
      <c r="V86" s="3">
        <v>41111</v>
      </c>
      <c r="W86" t="s">
        <v>127</v>
      </c>
      <c r="X86" t="s">
        <v>103</v>
      </c>
      <c r="Y86" t="s">
        <v>44</v>
      </c>
      <c r="Z86" s="6">
        <v>4</v>
      </c>
      <c r="AA86" s="6" t="str" cm="1">
        <f t="array" ref="AA86">_xlfn.IFS(Z86&gt;=5,"VERY HIGH",Z86&gt;=4,"HIGH",Z86&gt;=3,"MEDIUM",TRUE,"LOW")</f>
        <v>HIGH</v>
      </c>
    </row>
    <row r="87" spans="1:27" x14ac:dyDescent="0.2">
      <c r="A87" s="6" t="s">
        <v>0</v>
      </c>
      <c r="B87" s="6" t="s">
        <v>498</v>
      </c>
      <c r="C87" s="6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6" t="s">
        <v>117</v>
      </c>
      <c r="J87" s="6" t="s">
        <v>197</v>
      </c>
      <c r="K87" s="6" t="s">
        <v>33</v>
      </c>
      <c r="L87" s="6" t="s">
        <v>34</v>
      </c>
      <c r="M87" s="6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s="6" t="s">
        <v>177</v>
      </c>
      <c r="U87" s="6" t="s">
        <v>41</v>
      </c>
      <c r="V87" s="3">
        <v>58860</v>
      </c>
      <c r="W87" t="s">
        <v>92</v>
      </c>
      <c r="X87" t="s">
        <v>74</v>
      </c>
      <c r="Y87" t="s">
        <v>44</v>
      </c>
      <c r="Z87" s="6">
        <v>2</v>
      </c>
      <c r="AA87" s="6" t="str" cm="1">
        <f t="array" ref="AA87">_xlfn.IFS(Z87&gt;=5,"VERY HIGH",Z87&gt;=4,"HIGH",Z87&gt;=3,"MEDIUM",TRUE,"LOW")</f>
        <v>LOW</v>
      </c>
    </row>
    <row r="88" spans="1:27" x14ac:dyDescent="0.2">
      <c r="A88" s="6" t="s">
        <v>0</v>
      </c>
      <c r="B88" s="6" t="s">
        <v>504</v>
      </c>
      <c r="C88" s="6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6" t="s">
        <v>61</v>
      </c>
      <c r="J88" s="6" t="s">
        <v>197</v>
      </c>
      <c r="K88" s="6" t="s">
        <v>33</v>
      </c>
      <c r="L88" s="6" t="s">
        <v>34</v>
      </c>
      <c r="M88" s="6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s="6" t="s">
        <v>82</v>
      </c>
      <c r="U88" s="6" t="s">
        <v>54</v>
      </c>
      <c r="V88" s="3">
        <v>93051</v>
      </c>
      <c r="W88" t="s">
        <v>73</v>
      </c>
      <c r="X88" t="s">
        <v>83</v>
      </c>
      <c r="Y88" t="s">
        <v>44</v>
      </c>
      <c r="Z88" s="6">
        <v>5</v>
      </c>
      <c r="AA88" s="6" t="str" cm="1">
        <f t="array" ref="AA88">_xlfn.IFS(Z88&gt;=5,"VERY HIGH",Z88&gt;=4,"HIGH",Z88&gt;=3,"MEDIUM",TRUE,"LOW")</f>
        <v>VERY HIGH</v>
      </c>
    </row>
    <row r="89" spans="1:27" x14ac:dyDescent="0.2">
      <c r="A89" s="6" t="s">
        <v>0</v>
      </c>
      <c r="B89" s="6" t="s">
        <v>509</v>
      </c>
      <c r="C89" s="6" t="s">
        <v>510</v>
      </c>
      <c r="D89" s="1">
        <v>43936</v>
      </c>
      <c r="F89" t="s">
        <v>58</v>
      </c>
      <c r="G89" t="s">
        <v>511</v>
      </c>
      <c r="H89" t="s">
        <v>512</v>
      </c>
      <c r="I89" s="6" t="s">
        <v>88</v>
      </c>
      <c r="J89" s="6" t="s">
        <v>32</v>
      </c>
      <c r="K89" s="6" t="s">
        <v>62</v>
      </c>
      <c r="L89" s="6" t="s">
        <v>63</v>
      </c>
      <c r="M89" s="6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s="6" t="s">
        <v>242</v>
      </c>
      <c r="U89" s="6" t="s">
        <v>54</v>
      </c>
      <c r="V89" s="3">
        <v>17419</v>
      </c>
      <c r="W89" t="s">
        <v>127</v>
      </c>
      <c r="X89" t="s">
        <v>83</v>
      </c>
      <c r="Y89" t="s">
        <v>44</v>
      </c>
      <c r="Z89" s="6">
        <v>1</v>
      </c>
      <c r="AA89" s="6" t="str" cm="1">
        <f t="array" ref="AA89">_xlfn.IFS(Z89&gt;=5,"VERY HIGH",Z89&gt;=4,"HIGH",Z89&gt;=3,"MEDIUM",TRUE,"LOW")</f>
        <v>LOW</v>
      </c>
    </row>
    <row r="90" spans="1:27" x14ac:dyDescent="0.2">
      <c r="A90" s="6" t="s">
        <v>0</v>
      </c>
      <c r="B90" s="6" t="s">
        <v>513</v>
      </c>
      <c r="C90" s="6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6" t="s">
        <v>31</v>
      </c>
      <c r="J90" s="6" t="s">
        <v>197</v>
      </c>
      <c r="K90" s="6" t="s">
        <v>51</v>
      </c>
      <c r="L90" s="6" t="s">
        <v>50</v>
      </c>
      <c r="M90" s="6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s="6" t="s">
        <v>156</v>
      </c>
      <c r="U90" s="6" t="s">
        <v>54</v>
      </c>
      <c r="V90" s="3">
        <v>59593</v>
      </c>
      <c r="W90" t="s">
        <v>42</v>
      </c>
      <c r="X90" t="s">
        <v>74</v>
      </c>
      <c r="Y90" t="s">
        <v>44</v>
      </c>
      <c r="Z90" s="6">
        <v>4</v>
      </c>
      <c r="AA90" s="6" t="str" cm="1">
        <f t="array" ref="AA90">_xlfn.IFS(Z90&gt;=5,"VERY HIGH",Z90&gt;=4,"HIGH",Z90&gt;=3,"MEDIUM",TRUE,"LOW")</f>
        <v>HIGH</v>
      </c>
    </row>
    <row r="91" spans="1:27" x14ac:dyDescent="0.2">
      <c r="A91" s="6" t="s">
        <v>0</v>
      </c>
      <c r="B91" s="6" t="s">
        <v>518</v>
      </c>
      <c r="C91" s="6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6" t="s">
        <v>132</v>
      </c>
      <c r="J91" s="6" t="s">
        <v>32</v>
      </c>
      <c r="K91" s="6" t="s">
        <v>33</v>
      </c>
      <c r="L91" s="6" t="s">
        <v>63</v>
      </c>
      <c r="M91" s="6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s="6" t="s">
        <v>177</v>
      </c>
      <c r="U91" s="6" t="s">
        <v>54</v>
      </c>
      <c r="V91" s="3">
        <v>96350</v>
      </c>
      <c r="W91" t="s">
        <v>127</v>
      </c>
      <c r="X91" t="s">
        <v>103</v>
      </c>
      <c r="Y91" t="s">
        <v>44</v>
      </c>
      <c r="Z91" s="6">
        <v>5</v>
      </c>
      <c r="AA91" s="6" t="str" cm="1">
        <f t="array" ref="AA91">_xlfn.IFS(Z91&gt;=5,"VERY HIGH",Z91&gt;=4,"HIGH",Z91&gt;=3,"MEDIUM",TRUE,"LOW")</f>
        <v>VERY HIGH</v>
      </c>
    </row>
    <row r="92" spans="1:27" x14ac:dyDescent="0.2">
      <c r="A92" s="6" t="s">
        <v>0</v>
      </c>
      <c r="B92" s="6" t="s">
        <v>523</v>
      </c>
      <c r="C92" s="6" t="s">
        <v>524</v>
      </c>
      <c r="D92" s="1">
        <v>43880</v>
      </c>
      <c r="F92" t="s">
        <v>58</v>
      </c>
      <c r="G92" t="s">
        <v>525</v>
      </c>
      <c r="H92" t="s">
        <v>526</v>
      </c>
      <c r="I92" s="6" t="s">
        <v>49</v>
      </c>
      <c r="J92" s="6" t="s">
        <v>32</v>
      </c>
      <c r="K92" s="6" t="s">
        <v>51</v>
      </c>
      <c r="L92" s="6" t="s">
        <v>50</v>
      </c>
      <c r="M92" s="6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s="6" t="s">
        <v>149</v>
      </c>
      <c r="U92" s="6" t="s">
        <v>54</v>
      </c>
      <c r="V92" s="3">
        <v>44469</v>
      </c>
      <c r="W92" t="s">
        <v>55</v>
      </c>
      <c r="X92" t="s">
        <v>43</v>
      </c>
      <c r="Y92" t="s">
        <v>44</v>
      </c>
      <c r="Z92" s="6">
        <v>4</v>
      </c>
      <c r="AA92" s="6" t="str" cm="1">
        <f t="array" ref="AA92">_xlfn.IFS(Z92&gt;=5,"VERY HIGH",Z92&gt;=4,"HIGH",Z92&gt;=3,"MEDIUM",TRUE,"LOW")</f>
        <v>HIGH</v>
      </c>
    </row>
    <row r="93" spans="1:27" x14ac:dyDescent="0.2">
      <c r="A93" s="6" t="s">
        <v>0</v>
      </c>
      <c r="B93" s="6" t="s">
        <v>527</v>
      </c>
      <c r="C93" s="6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6" t="s">
        <v>138</v>
      </c>
      <c r="J93" s="6" t="s">
        <v>32</v>
      </c>
      <c r="K93" s="6" t="s">
        <v>33</v>
      </c>
      <c r="L93" s="6" t="s">
        <v>63</v>
      </c>
      <c r="M93" s="6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s="6" t="s">
        <v>177</v>
      </c>
      <c r="U93" s="6" t="s">
        <v>41</v>
      </c>
      <c r="V93" s="3">
        <v>13249</v>
      </c>
      <c r="W93" t="s">
        <v>55</v>
      </c>
      <c r="X93" t="s">
        <v>83</v>
      </c>
      <c r="Y93" t="s">
        <v>44</v>
      </c>
      <c r="Z93" s="6">
        <v>2</v>
      </c>
      <c r="AA93" s="6" t="str" cm="1">
        <f t="array" ref="AA93">_xlfn.IFS(Z93&gt;=5,"VERY HIGH",Z93&gt;=4,"HIGH",Z93&gt;=3,"MEDIUM",TRUE,"LOW")</f>
        <v>LOW</v>
      </c>
    </row>
    <row r="94" spans="1:27" x14ac:dyDescent="0.2">
      <c r="A94" s="6" t="s">
        <v>0</v>
      </c>
      <c r="B94" s="6" t="s">
        <v>531</v>
      </c>
      <c r="C94" s="6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6" t="s">
        <v>79</v>
      </c>
      <c r="J94" s="6" t="s">
        <v>32</v>
      </c>
      <c r="K94" s="6" t="s">
        <v>51</v>
      </c>
      <c r="L94" s="6" t="s">
        <v>34</v>
      </c>
      <c r="M94" s="6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s="6" t="s">
        <v>351</v>
      </c>
      <c r="U94" s="6" t="s">
        <v>54</v>
      </c>
      <c r="V94" s="3">
        <v>17123</v>
      </c>
      <c r="W94" t="s">
        <v>55</v>
      </c>
      <c r="X94" t="s">
        <v>43</v>
      </c>
      <c r="Y94" t="s">
        <v>44</v>
      </c>
      <c r="Z94" s="6">
        <v>2</v>
      </c>
      <c r="AA94" s="6" t="str" cm="1">
        <f t="array" ref="AA94">_xlfn.IFS(Z94&gt;=5,"VERY HIGH",Z94&gt;=4,"HIGH",Z94&gt;=3,"MEDIUM",TRUE,"LOW")</f>
        <v>LOW</v>
      </c>
    </row>
    <row r="95" spans="1:27" x14ac:dyDescent="0.2">
      <c r="A95" s="6" t="s">
        <v>0</v>
      </c>
      <c r="B95" s="6" t="s">
        <v>536</v>
      </c>
      <c r="C95" s="6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6" t="s">
        <v>79</v>
      </c>
      <c r="J95" s="6" t="s">
        <v>32</v>
      </c>
      <c r="K95" s="6" t="s">
        <v>62</v>
      </c>
      <c r="L95" s="6" t="s">
        <v>34</v>
      </c>
      <c r="M95" s="6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s="6" t="s">
        <v>242</v>
      </c>
      <c r="U95" s="6" t="s">
        <v>41</v>
      </c>
      <c r="V95" s="3">
        <v>18983</v>
      </c>
      <c r="W95" t="s">
        <v>92</v>
      </c>
      <c r="X95" t="s">
        <v>103</v>
      </c>
      <c r="Y95" t="s">
        <v>44</v>
      </c>
      <c r="Z95" s="6">
        <v>1</v>
      </c>
      <c r="AA95" s="6" t="str" cm="1">
        <f t="array" ref="AA95">_xlfn.IFS(Z95&gt;=5,"VERY HIGH",Z95&gt;=4,"HIGH",Z95&gt;=3,"MEDIUM",TRUE,"LOW")</f>
        <v>LOW</v>
      </c>
    </row>
    <row r="96" spans="1:27" x14ac:dyDescent="0.2">
      <c r="A96" s="6" t="s">
        <v>0</v>
      </c>
      <c r="B96" s="6" t="s">
        <v>541</v>
      </c>
      <c r="C96" s="6" t="s">
        <v>542</v>
      </c>
      <c r="D96" s="1">
        <v>43522</v>
      </c>
      <c r="F96" t="s">
        <v>58</v>
      </c>
      <c r="G96" t="s">
        <v>543</v>
      </c>
      <c r="H96" t="s">
        <v>544</v>
      </c>
      <c r="I96" s="6" t="s">
        <v>97</v>
      </c>
      <c r="J96" s="6" t="s">
        <v>32</v>
      </c>
      <c r="K96" s="6" t="s">
        <v>33</v>
      </c>
      <c r="L96" s="6" t="s">
        <v>34</v>
      </c>
      <c r="M96" s="6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s="6" t="s">
        <v>459</v>
      </c>
      <c r="U96" s="6" t="s">
        <v>41</v>
      </c>
      <c r="V96" s="3">
        <v>51795</v>
      </c>
      <c r="W96" t="s">
        <v>127</v>
      </c>
      <c r="X96" t="s">
        <v>103</v>
      </c>
      <c r="Y96" t="s">
        <v>44</v>
      </c>
      <c r="Z96" s="6">
        <v>4</v>
      </c>
      <c r="AA96" s="6" t="str" cm="1">
        <f t="array" ref="AA96">_xlfn.IFS(Z96&gt;=5,"VERY HIGH",Z96&gt;=4,"HIGH",Z96&gt;=3,"MEDIUM",TRUE,"LOW")</f>
        <v>HIGH</v>
      </c>
    </row>
    <row r="97" spans="1:27" x14ac:dyDescent="0.2">
      <c r="A97" s="6" t="s">
        <v>0</v>
      </c>
      <c r="B97" s="6" t="s">
        <v>545</v>
      </c>
      <c r="C97" s="6" t="s">
        <v>546</v>
      </c>
      <c r="D97" s="1">
        <v>43892</v>
      </c>
      <c r="F97" t="s">
        <v>58</v>
      </c>
      <c r="G97" t="s">
        <v>547</v>
      </c>
      <c r="H97" t="s">
        <v>548</v>
      </c>
      <c r="I97" s="6" t="s">
        <v>88</v>
      </c>
      <c r="J97" s="6" t="s">
        <v>32</v>
      </c>
      <c r="K97" s="6" t="s">
        <v>62</v>
      </c>
      <c r="L97" s="6" t="s">
        <v>34</v>
      </c>
      <c r="M97" s="6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s="6" t="s">
        <v>149</v>
      </c>
      <c r="U97" s="6" t="s">
        <v>41</v>
      </c>
      <c r="V97" s="3">
        <v>34369</v>
      </c>
      <c r="W97" t="s">
        <v>73</v>
      </c>
      <c r="X97" t="s">
        <v>74</v>
      </c>
      <c r="Y97" t="s">
        <v>44</v>
      </c>
      <c r="Z97" s="6">
        <v>1</v>
      </c>
      <c r="AA97" s="6" t="str" cm="1">
        <f t="array" ref="AA97">_xlfn.IFS(Z97&gt;=5,"VERY HIGH",Z97&gt;=4,"HIGH",Z97&gt;=3,"MEDIUM",TRUE,"LOW")</f>
        <v>LOW</v>
      </c>
    </row>
    <row r="98" spans="1:27" x14ac:dyDescent="0.2">
      <c r="A98" s="6" t="s">
        <v>0</v>
      </c>
      <c r="B98" s="6" t="s">
        <v>549</v>
      </c>
      <c r="C98" s="6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6" t="s">
        <v>31</v>
      </c>
      <c r="J98" s="6" t="s">
        <v>32</v>
      </c>
      <c r="K98" s="6" t="s">
        <v>62</v>
      </c>
      <c r="L98" s="6" t="s">
        <v>50</v>
      </c>
      <c r="M98" s="6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s="6" t="s">
        <v>82</v>
      </c>
      <c r="U98" s="6" t="s">
        <v>41</v>
      </c>
      <c r="V98" s="3">
        <v>23092</v>
      </c>
      <c r="W98" t="s">
        <v>73</v>
      </c>
      <c r="X98" t="s">
        <v>74</v>
      </c>
      <c r="Y98" t="s">
        <v>44</v>
      </c>
      <c r="Z98" s="6">
        <v>2</v>
      </c>
      <c r="AA98" s="6" t="str" cm="1">
        <f t="array" ref="AA98">_xlfn.IFS(Z98&gt;=5,"VERY HIGH",Z98&gt;=4,"HIGH",Z98&gt;=3,"MEDIUM",TRUE,"LOW")</f>
        <v>LOW</v>
      </c>
    </row>
    <row r="99" spans="1:27" x14ac:dyDescent="0.2">
      <c r="A99" s="6" t="s">
        <v>0</v>
      </c>
      <c r="B99" s="6" t="s">
        <v>554</v>
      </c>
      <c r="C99" s="6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6" t="s">
        <v>49</v>
      </c>
      <c r="J99" s="6" t="s">
        <v>197</v>
      </c>
      <c r="K99" s="6" t="s">
        <v>33</v>
      </c>
      <c r="L99" s="6" t="s">
        <v>63</v>
      </c>
      <c r="M99" s="6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s="6" t="s">
        <v>82</v>
      </c>
      <c r="U99" s="6" t="s">
        <v>54</v>
      </c>
      <c r="V99" s="3">
        <v>6074</v>
      </c>
      <c r="W99" t="s">
        <v>127</v>
      </c>
      <c r="X99" t="s">
        <v>103</v>
      </c>
      <c r="Y99" t="s">
        <v>44</v>
      </c>
      <c r="Z99" s="6">
        <v>2</v>
      </c>
      <c r="AA99" s="6" t="str" cm="1">
        <f t="array" ref="AA99">_xlfn.IFS(Z99&gt;=5,"VERY HIGH",Z99&gt;=4,"HIGH",Z99&gt;=3,"MEDIUM",TRUE,"LOW")</f>
        <v>LOW</v>
      </c>
    </row>
    <row r="100" spans="1:27" x14ac:dyDescent="0.2">
      <c r="A100" s="6" t="s">
        <v>0</v>
      </c>
      <c r="B100" s="6" t="s">
        <v>292</v>
      </c>
      <c r="C100" s="6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6" t="s">
        <v>138</v>
      </c>
      <c r="J100" s="6" t="s">
        <v>197</v>
      </c>
      <c r="K100" s="6" t="s">
        <v>33</v>
      </c>
      <c r="L100" s="6" t="s">
        <v>63</v>
      </c>
      <c r="M100" s="6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s="6" t="s">
        <v>225</v>
      </c>
      <c r="U100" s="6" t="s">
        <v>54</v>
      </c>
      <c r="V100" s="3">
        <v>72264</v>
      </c>
      <c r="W100" t="s">
        <v>55</v>
      </c>
      <c r="X100" t="s">
        <v>74</v>
      </c>
      <c r="Y100" t="s">
        <v>44</v>
      </c>
      <c r="Z100" s="6">
        <v>2</v>
      </c>
      <c r="AA100" s="6" t="str" cm="1">
        <f t="array" ref="AA100">_xlfn.IFS(Z100&gt;=5,"VERY HIGH",Z100&gt;=4,"HIGH",Z100&gt;=3,"MEDIUM",TRUE,"LOW")</f>
        <v>LOW</v>
      </c>
    </row>
    <row r="101" spans="1:27" x14ac:dyDescent="0.2">
      <c r="A101">
        <v>3526</v>
      </c>
      <c r="B101" t="s">
        <v>563</v>
      </c>
      <c r="C101" t="s">
        <v>564</v>
      </c>
      <c r="D101" s="1">
        <v>44819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 s="3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7" x14ac:dyDescent="0.2">
      <c r="A102">
        <v>3527</v>
      </c>
      <c r="B102" t="s">
        <v>567</v>
      </c>
      <c r="C102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t="s">
        <v>61</v>
      </c>
      <c r="J102" t="s">
        <v>32</v>
      </c>
      <c r="K102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 s="3">
        <v>46645</v>
      </c>
      <c r="W102" t="s">
        <v>92</v>
      </c>
      <c r="X102" t="s">
        <v>83</v>
      </c>
      <c r="Y102" t="s">
        <v>44</v>
      </c>
      <c r="Z102">
        <v>1</v>
      </c>
    </row>
    <row r="103" spans="1:27" x14ac:dyDescent="0.2">
      <c r="A103">
        <v>3528</v>
      </c>
      <c r="B103" t="s">
        <v>572</v>
      </c>
      <c r="C103" t="s">
        <v>573</v>
      </c>
      <c r="D103" s="1">
        <v>44847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 s="3">
        <v>10790</v>
      </c>
      <c r="W103" t="s">
        <v>55</v>
      </c>
      <c r="X103" t="s">
        <v>43</v>
      </c>
      <c r="Y103" t="s">
        <v>44</v>
      </c>
      <c r="Z103">
        <v>2</v>
      </c>
    </row>
    <row r="104" spans="1:27" x14ac:dyDescent="0.2">
      <c r="A104">
        <v>3529</v>
      </c>
      <c r="B104" t="s">
        <v>576</v>
      </c>
      <c r="C10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t="s">
        <v>132</v>
      </c>
      <c r="J104" t="s">
        <v>32</v>
      </c>
      <c r="K104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 s="3">
        <v>67282</v>
      </c>
      <c r="W104" t="s">
        <v>55</v>
      </c>
      <c r="X104" t="s">
        <v>74</v>
      </c>
      <c r="Y104" t="s">
        <v>44</v>
      </c>
      <c r="Z104">
        <v>2</v>
      </c>
    </row>
    <row r="105" spans="1:27" x14ac:dyDescent="0.2">
      <c r="A105">
        <v>3530</v>
      </c>
      <c r="B105" t="s">
        <v>582</v>
      </c>
      <c r="C105" t="s">
        <v>92</v>
      </c>
      <c r="D105" s="1">
        <v>43782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 s="3">
        <v>62321</v>
      </c>
      <c r="W105" t="s">
        <v>92</v>
      </c>
      <c r="X105" t="s">
        <v>43</v>
      </c>
      <c r="Y105" t="s">
        <v>44</v>
      </c>
      <c r="Z105">
        <v>2</v>
      </c>
    </row>
    <row r="106" spans="1:27" x14ac:dyDescent="0.2">
      <c r="A106">
        <v>3531</v>
      </c>
      <c r="B106" t="s">
        <v>585</v>
      </c>
      <c r="C106" t="s">
        <v>586</v>
      </c>
      <c r="D106" s="1">
        <v>45094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 s="3">
        <v>18409</v>
      </c>
      <c r="W106" t="s">
        <v>92</v>
      </c>
      <c r="X106" t="s">
        <v>103</v>
      </c>
      <c r="Y106" t="s">
        <v>44</v>
      </c>
      <c r="Z106">
        <v>1</v>
      </c>
    </row>
    <row r="107" spans="1:27" x14ac:dyDescent="0.2">
      <c r="A107">
        <v>3532</v>
      </c>
      <c r="B107" t="s">
        <v>589</v>
      </c>
      <c r="C107" t="s">
        <v>590</v>
      </c>
      <c r="D107" s="1">
        <v>44483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 s="3">
        <v>40306</v>
      </c>
      <c r="W107" t="s">
        <v>92</v>
      </c>
      <c r="X107" t="s">
        <v>43</v>
      </c>
      <c r="Y107" t="s">
        <v>44</v>
      </c>
      <c r="Z107">
        <v>1</v>
      </c>
    </row>
    <row r="108" spans="1:27" x14ac:dyDescent="0.2">
      <c r="A108">
        <v>3533</v>
      </c>
      <c r="B108" t="s">
        <v>594</v>
      </c>
      <c r="C108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t="s">
        <v>138</v>
      </c>
      <c r="J108" t="s">
        <v>32</v>
      </c>
      <c r="K108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 s="3">
        <v>65183</v>
      </c>
      <c r="W108" t="s">
        <v>42</v>
      </c>
      <c r="X108" t="s">
        <v>83</v>
      </c>
      <c r="Y108" t="s">
        <v>44</v>
      </c>
      <c r="Z108">
        <v>2</v>
      </c>
    </row>
    <row r="109" spans="1:27" x14ac:dyDescent="0.2">
      <c r="A109">
        <v>3534</v>
      </c>
      <c r="B109" t="s">
        <v>599</v>
      </c>
      <c r="C109" t="s">
        <v>600</v>
      </c>
      <c r="D109" s="1">
        <v>43357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 s="3">
        <v>97002</v>
      </c>
      <c r="W109" t="s">
        <v>127</v>
      </c>
      <c r="X109" t="s">
        <v>74</v>
      </c>
      <c r="Y109" t="s">
        <v>44</v>
      </c>
      <c r="Z109">
        <v>4</v>
      </c>
    </row>
    <row r="110" spans="1:27" x14ac:dyDescent="0.2">
      <c r="A110">
        <v>3535</v>
      </c>
      <c r="B110" t="s">
        <v>603</v>
      </c>
      <c r="C110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t="s">
        <v>167</v>
      </c>
      <c r="J110" t="s">
        <v>32</v>
      </c>
      <c r="K110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 s="3">
        <v>29811</v>
      </c>
      <c r="W110" t="s">
        <v>92</v>
      </c>
      <c r="X110" t="s">
        <v>74</v>
      </c>
      <c r="Y110" t="s">
        <v>44</v>
      </c>
      <c r="Z110">
        <v>4</v>
      </c>
    </row>
    <row r="111" spans="1:27" x14ac:dyDescent="0.2">
      <c r="A111">
        <v>3536</v>
      </c>
      <c r="B111" t="s">
        <v>608</v>
      </c>
      <c r="C111" t="s">
        <v>609</v>
      </c>
      <c r="D111" s="1">
        <v>44779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 s="3">
        <v>89169</v>
      </c>
      <c r="W111" t="s">
        <v>92</v>
      </c>
      <c r="X111" t="s">
        <v>74</v>
      </c>
      <c r="Y111" t="s">
        <v>44</v>
      </c>
      <c r="Z111">
        <v>2</v>
      </c>
    </row>
    <row r="112" spans="1:27" x14ac:dyDescent="0.2">
      <c r="A112">
        <v>3537</v>
      </c>
      <c r="B112" t="s">
        <v>613</v>
      </c>
      <c r="C112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t="s">
        <v>117</v>
      </c>
      <c r="J112" t="s">
        <v>197</v>
      </c>
      <c r="K112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 s="3">
        <v>63882</v>
      </c>
      <c r="W112" t="s">
        <v>55</v>
      </c>
      <c r="X112" t="s">
        <v>83</v>
      </c>
      <c r="Y112" t="s">
        <v>44</v>
      </c>
      <c r="Z112">
        <v>2</v>
      </c>
    </row>
    <row r="113" spans="1:26" x14ac:dyDescent="0.2">
      <c r="A113">
        <v>3538</v>
      </c>
      <c r="B113" t="s">
        <v>617</v>
      </c>
      <c r="C11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t="s">
        <v>61</v>
      </c>
      <c r="J113" t="s">
        <v>197</v>
      </c>
      <c r="K113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 s="3">
        <v>62328</v>
      </c>
      <c r="W113" t="s">
        <v>127</v>
      </c>
      <c r="X113" t="s">
        <v>43</v>
      </c>
      <c r="Y113" t="s">
        <v>44</v>
      </c>
      <c r="Z113">
        <v>2</v>
      </c>
    </row>
    <row r="114" spans="1:26" x14ac:dyDescent="0.2">
      <c r="A114">
        <v>3539</v>
      </c>
      <c r="B114" t="s">
        <v>622</v>
      </c>
      <c r="C114" t="s">
        <v>623</v>
      </c>
      <c r="D114" s="1">
        <v>43807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 s="3">
        <v>74448</v>
      </c>
      <c r="W114" t="s">
        <v>55</v>
      </c>
      <c r="X114" t="s">
        <v>74</v>
      </c>
      <c r="Y114" t="s">
        <v>44</v>
      </c>
      <c r="Z114">
        <v>5</v>
      </c>
    </row>
    <row r="115" spans="1:26" x14ac:dyDescent="0.2">
      <c r="A115">
        <v>3540</v>
      </c>
      <c r="B115" t="s">
        <v>626</v>
      </c>
      <c r="C115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t="s">
        <v>31</v>
      </c>
      <c r="J115" t="s">
        <v>32</v>
      </c>
      <c r="K11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 s="3">
        <v>18721</v>
      </c>
      <c r="W115" t="s">
        <v>42</v>
      </c>
      <c r="X115" t="s">
        <v>43</v>
      </c>
      <c r="Y115" t="s">
        <v>104</v>
      </c>
      <c r="Z115">
        <v>4</v>
      </c>
    </row>
    <row r="116" spans="1:26" x14ac:dyDescent="0.2">
      <c r="A116">
        <v>3541</v>
      </c>
      <c r="B116" t="s">
        <v>631</v>
      </c>
      <c r="C116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t="s">
        <v>132</v>
      </c>
      <c r="J116" t="s">
        <v>32</v>
      </c>
      <c r="K11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 s="3">
        <v>78938</v>
      </c>
      <c r="W116" t="s">
        <v>92</v>
      </c>
      <c r="X116" t="s">
        <v>83</v>
      </c>
      <c r="Y116" t="s">
        <v>104</v>
      </c>
      <c r="Z116">
        <v>2</v>
      </c>
    </row>
    <row r="117" spans="1:26" x14ac:dyDescent="0.2">
      <c r="A117">
        <v>3542</v>
      </c>
      <c r="B117" t="s">
        <v>636</v>
      </c>
      <c r="C117" t="s">
        <v>637</v>
      </c>
      <c r="D117" s="1">
        <v>45031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 s="3">
        <v>45456</v>
      </c>
      <c r="W117" t="s">
        <v>42</v>
      </c>
      <c r="X117" t="s">
        <v>83</v>
      </c>
      <c r="Y117" t="s">
        <v>235</v>
      </c>
      <c r="Z117">
        <v>1</v>
      </c>
    </row>
    <row r="118" spans="1:26" x14ac:dyDescent="0.2">
      <c r="A118">
        <v>3543</v>
      </c>
      <c r="B118" t="s">
        <v>640</v>
      </c>
      <c r="C118" t="s">
        <v>641</v>
      </c>
      <c r="D118" s="1">
        <v>44145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 s="3">
        <v>45509</v>
      </c>
      <c r="W118" t="s">
        <v>92</v>
      </c>
      <c r="X118" t="s">
        <v>74</v>
      </c>
      <c r="Y118" t="s">
        <v>44</v>
      </c>
      <c r="Z118">
        <v>2</v>
      </c>
    </row>
    <row r="119" spans="1:26" x14ac:dyDescent="0.2">
      <c r="A119">
        <v>3544</v>
      </c>
      <c r="B119" t="s">
        <v>644</v>
      </c>
      <c r="C119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t="s">
        <v>79</v>
      </c>
      <c r="J119" t="s">
        <v>32</v>
      </c>
      <c r="K119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 s="3">
        <v>13902</v>
      </c>
      <c r="W119" t="s">
        <v>127</v>
      </c>
      <c r="X119" t="s">
        <v>74</v>
      </c>
      <c r="Y119" t="s">
        <v>44</v>
      </c>
      <c r="Z119">
        <v>2</v>
      </c>
    </row>
    <row r="120" spans="1:26" x14ac:dyDescent="0.2">
      <c r="A120">
        <v>3545</v>
      </c>
      <c r="B120" t="s">
        <v>649</v>
      </c>
      <c r="C120" t="s">
        <v>650</v>
      </c>
      <c r="D120" s="1">
        <v>44627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 s="3">
        <v>9733</v>
      </c>
      <c r="W120" t="s">
        <v>92</v>
      </c>
      <c r="X120" t="s">
        <v>43</v>
      </c>
      <c r="Y120" t="s">
        <v>44</v>
      </c>
      <c r="Z120">
        <v>1</v>
      </c>
    </row>
    <row r="121" spans="1:26" x14ac:dyDescent="0.2">
      <c r="A121">
        <v>3546</v>
      </c>
      <c r="B121" t="s">
        <v>654</v>
      </c>
      <c r="C121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t="s">
        <v>31</v>
      </c>
      <c r="J121" t="s">
        <v>32</v>
      </c>
      <c r="K121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 s="3">
        <v>35786</v>
      </c>
      <c r="W121" t="s">
        <v>55</v>
      </c>
      <c r="X121" t="s">
        <v>43</v>
      </c>
      <c r="Y121" t="s">
        <v>104</v>
      </c>
      <c r="Z121">
        <v>1</v>
      </c>
    </row>
    <row r="122" spans="1:26" x14ac:dyDescent="0.2">
      <c r="A122">
        <v>3547</v>
      </c>
      <c r="B122" t="s">
        <v>659</v>
      </c>
      <c r="C122" t="s">
        <v>660</v>
      </c>
      <c r="D122" s="1">
        <v>44581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 s="3">
        <v>1919</v>
      </c>
      <c r="W122" t="s">
        <v>73</v>
      </c>
      <c r="X122" t="s">
        <v>83</v>
      </c>
      <c r="Y122" t="s">
        <v>235</v>
      </c>
      <c r="Z122">
        <v>2</v>
      </c>
    </row>
    <row r="123" spans="1:26" x14ac:dyDescent="0.2">
      <c r="A123">
        <v>3548</v>
      </c>
      <c r="B123" t="s">
        <v>663</v>
      </c>
      <c r="C12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t="s">
        <v>97</v>
      </c>
      <c r="J123" t="s">
        <v>32</v>
      </c>
      <c r="K123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 s="3">
        <v>40135</v>
      </c>
      <c r="W123" t="s">
        <v>42</v>
      </c>
      <c r="X123" t="s">
        <v>74</v>
      </c>
      <c r="Y123" t="s">
        <v>44</v>
      </c>
      <c r="Z123">
        <v>1</v>
      </c>
    </row>
    <row r="124" spans="1:26" x14ac:dyDescent="0.2">
      <c r="A124">
        <v>3549</v>
      </c>
      <c r="B124" t="s">
        <v>668</v>
      </c>
      <c r="C12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t="s">
        <v>79</v>
      </c>
      <c r="J124" t="s">
        <v>32</v>
      </c>
      <c r="K124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 s="3">
        <v>72975</v>
      </c>
      <c r="W124" t="s">
        <v>92</v>
      </c>
      <c r="X124" t="s">
        <v>103</v>
      </c>
      <c r="Y124" t="s">
        <v>44</v>
      </c>
      <c r="Z124">
        <v>2</v>
      </c>
    </row>
    <row r="125" spans="1:26" x14ac:dyDescent="0.2">
      <c r="A125">
        <v>3550</v>
      </c>
      <c r="B125" t="s">
        <v>337</v>
      </c>
      <c r="C125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t="s">
        <v>132</v>
      </c>
      <c r="J125" t="s">
        <v>197</v>
      </c>
      <c r="K12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 s="3">
        <v>57754</v>
      </c>
      <c r="W125" t="s">
        <v>42</v>
      </c>
      <c r="X125" t="s">
        <v>103</v>
      </c>
      <c r="Y125" t="s">
        <v>44</v>
      </c>
      <c r="Z125">
        <v>1</v>
      </c>
    </row>
    <row r="126" spans="1:26" x14ac:dyDescent="0.2">
      <c r="A126">
        <v>3551</v>
      </c>
      <c r="B126" t="s">
        <v>678</v>
      </c>
      <c r="C126" t="s">
        <v>679</v>
      </c>
      <c r="D126" s="1">
        <v>43323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 s="3">
        <v>81142</v>
      </c>
      <c r="W126" t="s">
        <v>92</v>
      </c>
      <c r="X126" t="s">
        <v>83</v>
      </c>
      <c r="Y126" t="s">
        <v>235</v>
      </c>
      <c r="Z126">
        <v>4</v>
      </c>
    </row>
    <row r="127" spans="1:26" x14ac:dyDescent="0.2">
      <c r="A127">
        <v>3552</v>
      </c>
      <c r="B127" t="s">
        <v>682</v>
      </c>
      <c r="C127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t="s">
        <v>61</v>
      </c>
      <c r="J127" t="s">
        <v>32</v>
      </c>
      <c r="K127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 s="3">
        <v>28714</v>
      </c>
      <c r="W127" t="s">
        <v>42</v>
      </c>
      <c r="X127" t="s">
        <v>74</v>
      </c>
      <c r="Y127" t="s">
        <v>235</v>
      </c>
      <c r="Z127">
        <v>1</v>
      </c>
    </row>
    <row r="128" spans="1:26" x14ac:dyDescent="0.2">
      <c r="A128">
        <v>3553</v>
      </c>
      <c r="B128" t="s">
        <v>687</v>
      </c>
      <c r="C128" t="s">
        <v>688</v>
      </c>
      <c r="D128" s="1">
        <v>43850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 s="3">
        <v>50379</v>
      </c>
      <c r="W128" t="s">
        <v>92</v>
      </c>
      <c r="X128" t="s">
        <v>103</v>
      </c>
      <c r="Y128" t="s">
        <v>44</v>
      </c>
      <c r="Z128">
        <v>4</v>
      </c>
    </row>
    <row r="129" spans="1:26" x14ac:dyDescent="0.2">
      <c r="A129">
        <v>3554</v>
      </c>
      <c r="B129" t="s">
        <v>691</v>
      </c>
      <c r="C129" t="s">
        <v>692</v>
      </c>
      <c r="D129" s="1">
        <v>43555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 s="3">
        <v>78385</v>
      </c>
      <c r="W129" t="s">
        <v>127</v>
      </c>
      <c r="X129" t="s">
        <v>43</v>
      </c>
      <c r="Y129" t="s">
        <v>44</v>
      </c>
      <c r="Z129">
        <v>1</v>
      </c>
    </row>
    <row r="130" spans="1:26" x14ac:dyDescent="0.2">
      <c r="A130">
        <v>3555</v>
      </c>
      <c r="B130" t="s">
        <v>697</v>
      </c>
      <c r="C130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t="s">
        <v>49</v>
      </c>
      <c r="J130" t="s">
        <v>32</v>
      </c>
      <c r="K130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 s="3">
        <v>48104</v>
      </c>
      <c r="W130" t="s">
        <v>55</v>
      </c>
      <c r="X130" t="s">
        <v>43</v>
      </c>
      <c r="Y130" t="s">
        <v>44</v>
      </c>
      <c r="Z130">
        <v>4</v>
      </c>
    </row>
    <row r="131" spans="1:26" x14ac:dyDescent="0.2">
      <c r="A131">
        <v>3556</v>
      </c>
      <c r="B131" t="s">
        <v>703</v>
      </c>
      <c r="C131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t="s">
        <v>31</v>
      </c>
      <c r="J131" t="s">
        <v>32</v>
      </c>
      <c r="K131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 s="3">
        <v>86009</v>
      </c>
      <c r="W131" t="s">
        <v>42</v>
      </c>
      <c r="X131" t="s">
        <v>74</v>
      </c>
      <c r="Y131" t="s">
        <v>104</v>
      </c>
      <c r="Z131">
        <v>2</v>
      </c>
    </row>
    <row r="132" spans="1:26" x14ac:dyDescent="0.2">
      <c r="A132">
        <v>3557</v>
      </c>
      <c r="B132" t="s">
        <v>708</v>
      </c>
      <c r="C132" t="s">
        <v>709</v>
      </c>
      <c r="D132" s="1">
        <v>43509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 s="3">
        <v>68837</v>
      </c>
      <c r="W132" t="s">
        <v>73</v>
      </c>
      <c r="X132" t="s">
        <v>74</v>
      </c>
      <c r="Y132" t="s">
        <v>44</v>
      </c>
      <c r="Z132">
        <v>2</v>
      </c>
    </row>
    <row r="133" spans="1:26" x14ac:dyDescent="0.2">
      <c r="A133">
        <v>3558</v>
      </c>
      <c r="B133" t="s">
        <v>712</v>
      </c>
      <c r="C133" t="s">
        <v>713</v>
      </c>
      <c r="D133" s="1">
        <v>43464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 s="3">
        <v>2145</v>
      </c>
      <c r="W133" t="s">
        <v>92</v>
      </c>
      <c r="X133" t="s">
        <v>74</v>
      </c>
      <c r="Y133" t="s">
        <v>44</v>
      </c>
      <c r="Z133">
        <v>1</v>
      </c>
    </row>
    <row r="134" spans="1:26" x14ac:dyDescent="0.2">
      <c r="A134">
        <v>3559</v>
      </c>
      <c r="B134" t="s">
        <v>716</v>
      </c>
      <c r="C13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t="s">
        <v>117</v>
      </c>
      <c r="J134" t="s">
        <v>32</v>
      </c>
      <c r="K134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 s="3">
        <v>1960</v>
      </c>
      <c r="W134" t="s">
        <v>42</v>
      </c>
      <c r="X134" t="s">
        <v>74</v>
      </c>
      <c r="Y134" t="s">
        <v>44</v>
      </c>
      <c r="Z134">
        <v>2</v>
      </c>
    </row>
    <row r="135" spans="1:26" x14ac:dyDescent="0.2">
      <c r="A135">
        <v>3560</v>
      </c>
      <c r="B135" t="s">
        <v>721</v>
      </c>
      <c r="C135" t="s">
        <v>722</v>
      </c>
      <c r="D135" s="1">
        <v>44713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 s="3">
        <v>2127</v>
      </c>
      <c r="W135" t="s">
        <v>127</v>
      </c>
      <c r="X135" t="s">
        <v>103</v>
      </c>
      <c r="Y135" t="s">
        <v>104</v>
      </c>
      <c r="Z135">
        <v>4</v>
      </c>
    </row>
    <row r="136" spans="1:26" x14ac:dyDescent="0.2">
      <c r="A136">
        <v>3561</v>
      </c>
      <c r="B136" t="s">
        <v>725</v>
      </c>
      <c r="C136" t="s">
        <v>726</v>
      </c>
      <c r="D136" s="1">
        <v>45013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 s="3">
        <v>2171</v>
      </c>
      <c r="W136" t="s">
        <v>42</v>
      </c>
      <c r="X136" t="s">
        <v>83</v>
      </c>
      <c r="Y136" t="s">
        <v>44</v>
      </c>
      <c r="Z136">
        <v>5</v>
      </c>
    </row>
    <row r="137" spans="1:26" x14ac:dyDescent="0.2">
      <c r="A137">
        <v>3562</v>
      </c>
      <c r="B137" t="s">
        <v>730</v>
      </c>
      <c r="C137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t="s">
        <v>31</v>
      </c>
      <c r="J137" t="s">
        <v>197</v>
      </c>
      <c r="K137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 s="3">
        <v>1821</v>
      </c>
      <c r="W137" t="s">
        <v>73</v>
      </c>
      <c r="X137" t="s">
        <v>74</v>
      </c>
      <c r="Y137" t="s">
        <v>104</v>
      </c>
      <c r="Z137">
        <v>2</v>
      </c>
    </row>
    <row r="138" spans="1:26" x14ac:dyDescent="0.2">
      <c r="A138">
        <v>3563</v>
      </c>
      <c r="B138" t="s">
        <v>735</v>
      </c>
      <c r="C138" t="s">
        <v>736</v>
      </c>
      <c r="D138" s="1">
        <v>43466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 s="3">
        <v>2148</v>
      </c>
      <c r="W138" t="s">
        <v>92</v>
      </c>
      <c r="X138" t="s">
        <v>43</v>
      </c>
      <c r="Y138" t="s">
        <v>739</v>
      </c>
      <c r="Z138">
        <v>4</v>
      </c>
    </row>
    <row r="139" spans="1:26" x14ac:dyDescent="0.2">
      <c r="A139">
        <v>3564</v>
      </c>
      <c r="B139" t="s">
        <v>740</v>
      </c>
      <c r="C139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t="s">
        <v>132</v>
      </c>
      <c r="J139" t="s">
        <v>744</v>
      </c>
      <c r="K139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 s="3">
        <v>2122</v>
      </c>
      <c r="W139" t="s">
        <v>42</v>
      </c>
      <c r="X139" t="s">
        <v>103</v>
      </c>
      <c r="Y139" t="s">
        <v>44</v>
      </c>
      <c r="Z139">
        <v>1</v>
      </c>
    </row>
    <row r="140" spans="1:26" x14ac:dyDescent="0.2">
      <c r="A140">
        <v>3565</v>
      </c>
      <c r="B140" t="s">
        <v>746</v>
      </c>
      <c r="C140" t="s">
        <v>747</v>
      </c>
      <c r="D140" s="1">
        <v>44450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 s="3">
        <v>1887</v>
      </c>
      <c r="W140" t="s">
        <v>73</v>
      </c>
      <c r="X140" t="s">
        <v>103</v>
      </c>
      <c r="Y140" t="s">
        <v>44</v>
      </c>
      <c r="Z140">
        <v>4</v>
      </c>
    </row>
    <row r="141" spans="1:26" x14ac:dyDescent="0.2">
      <c r="A141">
        <v>3566</v>
      </c>
      <c r="B141" t="s">
        <v>750</v>
      </c>
      <c r="C141" t="s">
        <v>751</v>
      </c>
      <c r="D141" s="1">
        <v>44465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 s="3">
        <v>1460</v>
      </c>
      <c r="W141" t="s">
        <v>92</v>
      </c>
      <c r="X141" t="s">
        <v>74</v>
      </c>
      <c r="Y141" t="s">
        <v>44</v>
      </c>
      <c r="Z141">
        <v>2</v>
      </c>
    </row>
    <row r="142" spans="1:26" x14ac:dyDescent="0.2">
      <c r="A142">
        <v>3567</v>
      </c>
      <c r="B142" t="s">
        <v>754</v>
      </c>
      <c r="C142" t="s">
        <v>755</v>
      </c>
      <c r="D142" s="1">
        <v>44989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 s="3">
        <v>2747</v>
      </c>
      <c r="W142" t="s">
        <v>127</v>
      </c>
      <c r="X142" t="s">
        <v>43</v>
      </c>
      <c r="Y142" t="s">
        <v>44</v>
      </c>
      <c r="Z142">
        <v>4</v>
      </c>
    </row>
    <row r="143" spans="1:26" x14ac:dyDescent="0.2">
      <c r="A143">
        <v>3568</v>
      </c>
      <c r="B143" t="s">
        <v>758</v>
      </c>
      <c r="C14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t="s">
        <v>49</v>
      </c>
      <c r="J143" t="s">
        <v>744</v>
      </c>
      <c r="K143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 s="3">
        <v>2478</v>
      </c>
      <c r="W143" t="s">
        <v>127</v>
      </c>
      <c r="X143" t="s">
        <v>103</v>
      </c>
      <c r="Y143" t="s">
        <v>44</v>
      </c>
      <c r="Z143">
        <v>2</v>
      </c>
    </row>
    <row r="144" spans="1:26" x14ac:dyDescent="0.2">
      <c r="A144">
        <v>3569</v>
      </c>
      <c r="B144" t="s">
        <v>763</v>
      </c>
      <c r="C14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t="s">
        <v>138</v>
      </c>
      <c r="J144" t="s">
        <v>32</v>
      </c>
      <c r="K144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 s="3">
        <v>2763</v>
      </c>
      <c r="W144" t="s">
        <v>55</v>
      </c>
      <c r="X144" t="s">
        <v>103</v>
      </c>
      <c r="Y144" t="s">
        <v>44</v>
      </c>
      <c r="Z144">
        <v>2</v>
      </c>
    </row>
    <row r="145" spans="1:26" x14ac:dyDescent="0.2">
      <c r="A145">
        <v>3570</v>
      </c>
      <c r="B145" t="s">
        <v>768</v>
      </c>
      <c r="C145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t="s">
        <v>79</v>
      </c>
      <c r="J145" t="s">
        <v>744</v>
      </c>
      <c r="K14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 s="3">
        <v>2445</v>
      </c>
      <c r="W145" t="s">
        <v>127</v>
      </c>
      <c r="X145" t="s">
        <v>83</v>
      </c>
      <c r="Y145" t="s">
        <v>44</v>
      </c>
      <c r="Z145">
        <v>1</v>
      </c>
    </row>
    <row r="146" spans="1:26" x14ac:dyDescent="0.2">
      <c r="A146">
        <v>3571</v>
      </c>
      <c r="B146" t="s">
        <v>773</v>
      </c>
      <c r="C146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t="s">
        <v>117</v>
      </c>
      <c r="J146" t="s">
        <v>744</v>
      </c>
      <c r="K14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 s="3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">
      <c r="A147">
        <v>3572</v>
      </c>
      <c r="B147" t="s">
        <v>778</v>
      </c>
      <c r="C147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t="s">
        <v>97</v>
      </c>
      <c r="J147" t="s">
        <v>32</v>
      </c>
      <c r="K147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 s="3">
        <v>2747</v>
      </c>
      <c r="W147" t="s">
        <v>42</v>
      </c>
      <c r="X147" t="s">
        <v>74</v>
      </c>
      <c r="Y147" t="s">
        <v>44</v>
      </c>
      <c r="Z147">
        <v>5</v>
      </c>
    </row>
    <row r="148" spans="1:26" x14ac:dyDescent="0.2">
      <c r="A148">
        <v>3573</v>
      </c>
      <c r="B148" t="s">
        <v>783</v>
      </c>
      <c r="C148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t="s">
        <v>117</v>
      </c>
      <c r="J148" t="s">
        <v>32</v>
      </c>
      <c r="K148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 s="3">
        <v>2346</v>
      </c>
      <c r="W148" t="s">
        <v>127</v>
      </c>
      <c r="X148" t="s">
        <v>103</v>
      </c>
      <c r="Y148" t="s">
        <v>104</v>
      </c>
      <c r="Z148">
        <v>4</v>
      </c>
    </row>
    <row r="149" spans="1:26" x14ac:dyDescent="0.2">
      <c r="A149">
        <v>3574</v>
      </c>
      <c r="B149" t="s">
        <v>788</v>
      </c>
      <c r="C149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t="s">
        <v>97</v>
      </c>
      <c r="J149" t="s">
        <v>197</v>
      </c>
      <c r="K149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 s="3">
        <v>2124</v>
      </c>
      <c r="W149" t="s">
        <v>55</v>
      </c>
      <c r="X149" t="s">
        <v>43</v>
      </c>
      <c r="Y149" t="s">
        <v>44</v>
      </c>
      <c r="Z149">
        <v>1</v>
      </c>
    </row>
    <row r="150" spans="1:26" x14ac:dyDescent="0.2">
      <c r="A150">
        <v>3575</v>
      </c>
      <c r="B150" t="s">
        <v>794</v>
      </c>
      <c r="C150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t="s">
        <v>138</v>
      </c>
      <c r="J150" t="s">
        <v>744</v>
      </c>
      <c r="K150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 s="3">
        <v>2445</v>
      </c>
      <c r="W150" t="s">
        <v>55</v>
      </c>
      <c r="X150" t="s">
        <v>74</v>
      </c>
      <c r="Y150" t="s">
        <v>104</v>
      </c>
      <c r="Z150">
        <v>5</v>
      </c>
    </row>
    <row r="151" spans="1:26" x14ac:dyDescent="0.2">
      <c r="A151">
        <v>3576</v>
      </c>
      <c r="B151" t="s">
        <v>199</v>
      </c>
      <c r="C151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t="s">
        <v>61</v>
      </c>
      <c r="J151" t="s">
        <v>32</v>
      </c>
      <c r="K151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 s="3">
        <v>2133</v>
      </c>
      <c r="W151" t="s">
        <v>127</v>
      </c>
      <c r="X151" t="s">
        <v>74</v>
      </c>
      <c r="Y151" t="s">
        <v>104</v>
      </c>
      <c r="Z151">
        <v>4</v>
      </c>
    </row>
    <row r="152" spans="1:26" x14ac:dyDescent="0.2">
      <c r="A152">
        <v>3577</v>
      </c>
      <c r="B152" t="s">
        <v>802</v>
      </c>
      <c r="C152" t="s">
        <v>803</v>
      </c>
      <c r="D152" s="1">
        <v>43723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 s="3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">
      <c r="A153">
        <v>3578</v>
      </c>
      <c r="B153" t="s">
        <v>806</v>
      </c>
      <c r="C153" t="s">
        <v>807</v>
      </c>
      <c r="D153" s="1">
        <v>43589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 s="3">
        <v>1760</v>
      </c>
      <c r="W153" t="s">
        <v>55</v>
      </c>
      <c r="X153" t="s">
        <v>83</v>
      </c>
      <c r="Y153" t="s">
        <v>104</v>
      </c>
      <c r="Z153">
        <v>2</v>
      </c>
    </row>
    <row r="154" spans="1:26" x14ac:dyDescent="0.2">
      <c r="A154">
        <v>3579</v>
      </c>
      <c r="B154" t="s">
        <v>810</v>
      </c>
      <c r="C15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 s="3">
        <v>1851</v>
      </c>
      <c r="W154" t="s">
        <v>127</v>
      </c>
      <c r="X154" t="s">
        <v>43</v>
      </c>
      <c r="Y154" t="s">
        <v>235</v>
      </c>
      <c r="Z154">
        <v>4</v>
      </c>
    </row>
    <row r="155" spans="1:26" x14ac:dyDescent="0.2">
      <c r="A155">
        <v>3580</v>
      </c>
      <c r="B155" t="s">
        <v>814</v>
      </c>
      <c r="C155" t="s">
        <v>815</v>
      </c>
      <c r="D155" s="1">
        <v>43815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 s="3">
        <v>41016</v>
      </c>
      <c r="W155" t="s">
        <v>73</v>
      </c>
      <c r="X155" t="s">
        <v>83</v>
      </c>
      <c r="Y155" t="s">
        <v>44</v>
      </c>
      <c r="Z155">
        <v>4</v>
      </c>
    </row>
    <row r="156" spans="1:26" x14ac:dyDescent="0.2">
      <c r="A156">
        <v>3581</v>
      </c>
      <c r="B156" t="s">
        <v>818</v>
      </c>
      <c r="C156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t="s">
        <v>132</v>
      </c>
      <c r="J156" t="s">
        <v>32</v>
      </c>
      <c r="K15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 s="3">
        <v>18389</v>
      </c>
      <c r="W156" t="s">
        <v>73</v>
      </c>
      <c r="X156" t="s">
        <v>103</v>
      </c>
      <c r="Y156" t="s">
        <v>44</v>
      </c>
      <c r="Z156">
        <v>2</v>
      </c>
    </row>
    <row r="157" spans="1:26" x14ac:dyDescent="0.2">
      <c r="A157">
        <v>3582</v>
      </c>
      <c r="B157" t="s">
        <v>823</v>
      </c>
      <c r="C157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t="s">
        <v>79</v>
      </c>
      <c r="J157" t="s">
        <v>32</v>
      </c>
      <c r="K157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 s="3">
        <v>90676</v>
      </c>
      <c r="W157" t="s">
        <v>127</v>
      </c>
      <c r="X157" t="s">
        <v>43</v>
      </c>
      <c r="Y157" t="s">
        <v>44</v>
      </c>
      <c r="Z157">
        <v>4</v>
      </c>
    </row>
    <row r="158" spans="1:26" x14ac:dyDescent="0.2">
      <c r="A158">
        <v>3583</v>
      </c>
      <c r="B158" t="s">
        <v>828</v>
      </c>
      <c r="C158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t="s">
        <v>97</v>
      </c>
      <c r="J158" t="s">
        <v>32</v>
      </c>
      <c r="K158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 s="3">
        <v>16011</v>
      </c>
      <c r="W158" t="s">
        <v>42</v>
      </c>
      <c r="X158" t="s">
        <v>83</v>
      </c>
      <c r="Y158" t="s">
        <v>235</v>
      </c>
      <c r="Z158">
        <v>4</v>
      </c>
    </row>
    <row r="159" spans="1:26" x14ac:dyDescent="0.2">
      <c r="A159">
        <v>3584</v>
      </c>
      <c r="B159" t="s">
        <v>834</v>
      </c>
      <c r="C159" t="s">
        <v>546</v>
      </c>
      <c r="D159" s="1">
        <v>44057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 s="3">
        <v>2051</v>
      </c>
      <c r="W159" t="s">
        <v>73</v>
      </c>
      <c r="X159" t="s">
        <v>83</v>
      </c>
      <c r="Y159" t="s">
        <v>44</v>
      </c>
      <c r="Z159">
        <v>4</v>
      </c>
    </row>
    <row r="160" spans="1:26" x14ac:dyDescent="0.2">
      <c r="A160">
        <v>3585</v>
      </c>
      <c r="B160" t="s">
        <v>56</v>
      </c>
      <c r="C160" t="s">
        <v>837</v>
      </c>
      <c r="D160" s="1">
        <v>44552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 s="3">
        <v>3074</v>
      </c>
      <c r="W160" t="s">
        <v>92</v>
      </c>
      <c r="X160" t="s">
        <v>103</v>
      </c>
      <c r="Y160" t="s">
        <v>44</v>
      </c>
      <c r="Z160">
        <v>4</v>
      </c>
    </row>
    <row r="161" spans="1:26" x14ac:dyDescent="0.2">
      <c r="A161">
        <v>3586</v>
      </c>
      <c r="B161" t="s">
        <v>840</v>
      </c>
      <c r="C161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t="s">
        <v>49</v>
      </c>
      <c r="J161" t="s">
        <v>32</v>
      </c>
      <c r="K161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 s="3">
        <v>24711</v>
      </c>
      <c r="W161" t="s">
        <v>55</v>
      </c>
      <c r="X161" t="s">
        <v>74</v>
      </c>
      <c r="Y161" t="s">
        <v>44</v>
      </c>
      <c r="Z161">
        <v>2</v>
      </c>
    </row>
    <row r="162" spans="1:26" x14ac:dyDescent="0.2">
      <c r="A162">
        <v>3587</v>
      </c>
      <c r="B162" t="s">
        <v>758</v>
      </c>
      <c r="C162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t="s">
        <v>138</v>
      </c>
      <c r="J162" t="s">
        <v>32</v>
      </c>
      <c r="K162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 s="3">
        <v>74564</v>
      </c>
      <c r="W162" t="s">
        <v>73</v>
      </c>
      <c r="X162" t="s">
        <v>103</v>
      </c>
      <c r="Y162" t="s">
        <v>44</v>
      </c>
      <c r="Z162">
        <v>2</v>
      </c>
    </row>
    <row r="163" spans="1:26" x14ac:dyDescent="0.2">
      <c r="A163">
        <v>3588</v>
      </c>
      <c r="B163" t="s">
        <v>849</v>
      </c>
      <c r="C16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t="s">
        <v>117</v>
      </c>
      <c r="J163" t="s">
        <v>32</v>
      </c>
      <c r="K163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 s="3">
        <v>14504</v>
      </c>
      <c r="W163" t="s">
        <v>92</v>
      </c>
      <c r="X163" t="s">
        <v>43</v>
      </c>
      <c r="Y163" t="s">
        <v>44</v>
      </c>
      <c r="Z163">
        <v>2</v>
      </c>
    </row>
    <row r="164" spans="1:26" x14ac:dyDescent="0.2">
      <c r="A164">
        <v>3589</v>
      </c>
      <c r="B164" t="s">
        <v>854</v>
      </c>
      <c r="C164" t="s">
        <v>855</v>
      </c>
      <c r="D164" s="1">
        <v>43580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 s="3">
        <v>2683</v>
      </c>
      <c r="W164" t="s">
        <v>42</v>
      </c>
      <c r="X164" t="s">
        <v>74</v>
      </c>
      <c r="Y164" t="s">
        <v>44</v>
      </c>
      <c r="Z164">
        <v>1</v>
      </c>
    </row>
    <row r="165" spans="1:26" x14ac:dyDescent="0.2">
      <c r="A165">
        <v>3590</v>
      </c>
      <c r="B165" t="s">
        <v>858</v>
      </c>
      <c r="C165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t="s">
        <v>167</v>
      </c>
      <c r="J165" t="s">
        <v>197</v>
      </c>
      <c r="K16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 s="3">
        <v>66167</v>
      </c>
      <c r="W165" t="s">
        <v>127</v>
      </c>
      <c r="X165" t="s">
        <v>43</v>
      </c>
      <c r="Y165" t="s">
        <v>44</v>
      </c>
      <c r="Z165">
        <v>4</v>
      </c>
    </row>
    <row r="166" spans="1:26" x14ac:dyDescent="0.2">
      <c r="A166">
        <v>3591</v>
      </c>
      <c r="B166" t="s">
        <v>863</v>
      </c>
      <c r="C166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t="s">
        <v>132</v>
      </c>
      <c r="J166" t="s">
        <v>197</v>
      </c>
      <c r="K16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 s="3">
        <v>21634</v>
      </c>
      <c r="W166" t="s">
        <v>42</v>
      </c>
      <c r="X166" t="s">
        <v>83</v>
      </c>
      <c r="Y166" t="s">
        <v>235</v>
      </c>
      <c r="Z166">
        <v>5</v>
      </c>
    </row>
    <row r="167" spans="1:26" x14ac:dyDescent="0.2">
      <c r="A167">
        <v>3592</v>
      </c>
      <c r="B167" t="s">
        <v>868</v>
      </c>
      <c r="C167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t="s">
        <v>79</v>
      </c>
      <c r="J167" t="s">
        <v>197</v>
      </c>
      <c r="K167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 s="3">
        <v>9454</v>
      </c>
      <c r="W167" t="s">
        <v>73</v>
      </c>
      <c r="X167" t="s">
        <v>74</v>
      </c>
      <c r="Y167" t="s">
        <v>44</v>
      </c>
      <c r="Z167">
        <v>3</v>
      </c>
    </row>
    <row r="168" spans="1:26" x14ac:dyDescent="0.2">
      <c r="A168">
        <v>3593</v>
      </c>
      <c r="B168" t="s">
        <v>873</v>
      </c>
      <c r="C168" t="s">
        <v>874</v>
      </c>
      <c r="D168" s="1">
        <v>43981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 s="3">
        <v>48453</v>
      </c>
      <c r="W168" t="s">
        <v>127</v>
      </c>
      <c r="X168" t="s">
        <v>83</v>
      </c>
      <c r="Y168" t="s">
        <v>44</v>
      </c>
      <c r="Z168">
        <v>1</v>
      </c>
    </row>
    <row r="169" spans="1:26" x14ac:dyDescent="0.2">
      <c r="A169">
        <v>3594</v>
      </c>
      <c r="B169" t="s">
        <v>877</v>
      </c>
      <c r="C169" t="s">
        <v>878</v>
      </c>
      <c r="D169" s="1">
        <v>43445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 s="3">
        <v>72888</v>
      </c>
      <c r="W169" t="s">
        <v>92</v>
      </c>
      <c r="X169" t="s">
        <v>83</v>
      </c>
      <c r="Y169" t="s">
        <v>235</v>
      </c>
      <c r="Z169">
        <v>1</v>
      </c>
    </row>
    <row r="170" spans="1:26" x14ac:dyDescent="0.2">
      <c r="A170">
        <v>3595</v>
      </c>
      <c r="B170" t="s">
        <v>881</v>
      </c>
      <c r="C170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t="s">
        <v>97</v>
      </c>
      <c r="J170" t="s">
        <v>32</v>
      </c>
      <c r="K170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 s="3">
        <v>56703</v>
      </c>
      <c r="W170" t="s">
        <v>73</v>
      </c>
      <c r="X170" t="s">
        <v>103</v>
      </c>
      <c r="Y170" t="s">
        <v>44</v>
      </c>
      <c r="Z170">
        <v>1</v>
      </c>
    </row>
    <row r="171" spans="1:26" x14ac:dyDescent="0.2">
      <c r="A171">
        <v>3596</v>
      </c>
      <c r="B171" t="s">
        <v>886</v>
      </c>
      <c r="C171" t="s">
        <v>887</v>
      </c>
      <c r="D171" s="1">
        <v>43674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 s="3">
        <v>33998</v>
      </c>
      <c r="W171" t="s">
        <v>73</v>
      </c>
      <c r="X171" t="s">
        <v>74</v>
      </c>
      <c r="Y171" t="s">
        <v>235</v>
      </c>
      <c r="Z171">
        <v>2</v>
      </c>
    </row>
    <row r="172" spans="1:26" x14ac:dyDescent="0.2">
      <c r="A172">
        <v>3597</v>
      </c>
      <c r="B172" t="s">
        <v>890</v>
      </c>
      <c r="C172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t="s">
        <v>167</v>
      </c>
      <c r="J172" t="s">
        <v>197</v>
      </c>
      <c r="K172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 s="3">
        <v>17650</v>
      </c>
      <c r="W172" t="s">
        <v>92</v>
      </c>
      <c r="X172" t="s">
        <v>74</v>
      </c>
      <c r="Y172" t="s">
        <v>44</v>
      </c>
      <c r="Z172">
        <v>1</v>
      </c>
    </row>
    <row r="173" spans="1:26" x14ac:dyDescent="0.2">
      <c r="A173">
        <v>3598</v>
      </c>
      <c r="B173" t="s">
        <v>895</v>
      </c>
      <c r="C17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t="s">
        <v>132</v>
      </c>
      <c r="J173" t="s">
        <v>744</v>
      </c>
      <c r="K173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 s="3">
        <v>72750</v>
      </c>
      <c r="W173" t="s">
        <v>73</v>
      </c>
      <c r="X173" t="s">
        <v>83</v>
      </c>
      <c r="Y173" t="s">
        <v>235</v>
      </c>
      <c r="Z173">
        <v>1</v>
      </c>
    </row>
    <row r="174" spans="1:26" x14ac:dyDescent="0.2">
      <c r="A174">
        <v>3599</v>
      </c>
      <c r="B174" t="s">
        <v>531</v>
      </c>
      <c r="C17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 s="3">
        <v>14044</v>
      </c>
      <c r="W174" t="s">
        <v>42</v>
      </c>
      <c r="X174" t="s">
        <v>103</v>
      </c>
      <c r="Y174" t="s">
        <v>44</v>
      </c>
      <c r="Z174">
        <v>2</v>
      </c>
    </row>
    <row r="175" spans="1:26" x14ac:dyDescent="0.2">
      <c r="A175">
        <v>3600</v>
      </c>
      <c r="B175" t="s">
        <v>903</v>
      </c>
      <c r="C175" t="s">
        <v>904</v>
      </c>
      <c r="D175" s="1">
        <v>44866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 s="3">
        <v>34810</v>
      </c>
      <c r="W175" t="s">
        <v>42</v>
      </c>
      <c r="X175" t="s">
        <v>74</v>
      </c>
      <c r="Y175" t="s">
        <v>44</v>
      </c>
      <c r="Z175">
        <v>2</v>
      </c>
    </row>
    <row r="176" spans="1:26" x14ac:dyDescent="0.2">
      <c r="A176">
        <v>3601</v>
      </c>
      <c r="B176" t="s">
        <v>907</v>
      </c>
      <c r="C176" t="s">
        <v>908</v>
      </c>
      <c r="D176" s="1">
        <v>44886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 s="3">
        <v>75187</v>
      </c>
      <c r="W176" t="s">
        <v>42</v>
      </c>
      <c r="X176" t="s">
        <v>83</v>
      </c>
      <c r="Y176" t="s">
        <v>44</v>
      </c>
      <c r="Z176">
        <v>5</v>
      </c>
    </row>
    <row r="177" spans="1:26" x14ac:dyDescent="0.2">
      <c r="A177">
        <v>3602</v>
      </c>
      <c r="B177" t="s">
        <v>911</v>
      </c>
      <c r="C177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t="s">
        <v>31</v>
      </c>
      <c r="J177" t="s">
        <v>744</v>
      </c>
      <c r="K177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 s="3">
        <v>30766</v>
      </c>
      <c r="W177" t="s">
        <v>55</v>
      </c>
      <c r="X177" t="s">
        <v>83</v>
      </c>
      <c r="Y177" t="s">
        <v>44</v>
      </c>
      <c r="Z177">
        <v>5</v>
      </c>
    </row>
    <row r="178" spans="1:26" x14ac:dyDescent="0.2">
      <c r="A178">
        <v>3603</v>
      </c>
      <c r="B178" t="s">
        <v>916</v>
      </c>
      <c r="C178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t="s">
        <v>49</v>
      </c>
      <c r="J178" t="s">
        <v>744</v>
      </c>
      <c r="K178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 s="3">
        <v>58348</v>
      </c>
      <c r="W178" t="s">
        <v>42</v>
      </c>
      <c r="X178" t="s">
        <v>83</v>
      </c>
      <c r="Y178" t="s">
        <v>44</v>
      </c>
      <c r="Z178">
        <v>2</v>
      </c>
    </row>
    <row r="179" spans="1:26" x14ac:dyDescent="0.2">
      <c r="A179">
        <v>3604</v>
      </c>
      <c r="B179" t="s">
        <v>921</v>
      </c>
      <c r="C179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t="s">
        <v>138</v>
      </c>
      <c r="J179" t="s">
        <v>32</v>
      </c>
      <c r="K179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 s="3">
        <v>44626</v>
      </c>
      <c r="W179" t="s">
        <v>55</v>
      </c>
      <c r="X179" t="s">
        <v>103</v>
      </c>
      <c r="Y179" t="s">
        <v>235</v>
      </c>
      <c r="Z179">
        <v>4</v>
      </c>
    </row>
    <row r="180" spans="1:26" x14ac:dyDescent="0.2">
      <c r="A180">
        <v>3605</v>
      </c>
      <c r="B180" t="s">
        <v>926</v>
      </c>
      <c r="C180" t="s">
        <v>927</v>
      </c>
      <c r="D180" s="1">
        <v>43726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 s="3">
        <v>2315</v>
      </c>
      <c r="W180" t="s">
        <v>73</v>
      </c>
      <c r="X180" t="s">
        <v>103</v>
      </c>
      <c r="Y180" t="s">
        <v>44</v>
      </c>
      <c r="Z180">
        <v>4</v>
      </c>
    </row>
    <row r="181" spans="1:26" x14ac:dyDescent="0.2">
      <c r="A181">
        <v>3606</v>
      </c>
      <c r="B181" t="s">
        <v>930</v>
      </c>
      <c r="C181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t="s">
        <v>132</v>
      </c>
      <c r="J181" t="s">
        <v>744</v>
      </c>
      <c r="K181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 s="3">
        <v>95618</v>
      </c>
      <c r="W181" t="s">
        <v>73</v>
      </c>
      <c r="X181" t="s">
        <v>103</v>
      </c>
      <c r="Y181" t="s">
        <v>44</v>
      </c>
      <c r="Z181">
        <v>3</v>
      </c>
    </row>
    <row r="182" spans="1:26" x14ac:dyDescent="0.2">
      <c r="A182">
        <v>3607</v>
      </c>
      <c r="B182" t="s">
        <v>936</v>
      </c>
      <c r="C182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t="s">
        <v>49</v>
      </c>
      <c r="J182" t="s">
        <v>32</v>
      </c>
      <c r="K182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 s="3">
        <v>15195</v>
      </c>
      <c r="W182" t="s">
        <v>73</v>
      </c>
      <c r="X182" t="s">
        <v>83</v>
      </c>
      <c r="Y182" t="s">
        <v>44</v>
      </c>
      <c r="Z182">
        <v>5</v>
      </c>
    </row>
    <row r="183" spans="1:26" x14ac:dyDescent="0.2">
      <c r="A183">
        <v>3608</v>
      </c>
      <c r="B183" t="s">
        <v>941</v>
      </c>
      <c r="C183" t="s">
        <v>942</v>
      </c>
      <c r="D183" s="1">
        <v>43509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 s="3">
        <v>74447</v>
      </c>
      <c r="W183" t="s">
        <v>73</v>
      </c>
      <c r="X183" t="s">
        <v>83</v>
      </c>
      <c r="Y183" t="s">
        <v>44</v>
      </c>
      <c r="Z183">
        <v>3</v>
      </c>
    </row>
    <row r="184" spans="1:26" x14ac:dyDescent="0.2">
      <c r="A184">
        <v>3609</v>
      </c>
      <c r="B184" t="s">
        <v>945</v>
      </c>
      <c r="C184" t="s">
        <v>358</v>
      </c>
      <c r="D184" s="1">
        <v>44349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 s="3">
        <v>21318</v>
      </c>
      <c r="W184" t="s">
        <v>73</v>
      </c>
      <c r="X184" t="s">
        <v>43</v>
      </c>
      <c r="Y184" t="s">
        <v>44</v>
      </c>
      <c r="Z184">
        <v>3</v>
      </c>
    </row>
    <row r="185" spans="1:26" x14ac:dyDescent="0.2">
      <c r="A185">
        <v>3610</v>
      </c>
      <c r="B185" t="s">
        <v>949</v>
      </c>
      <c r="C185" t="s">
        <v>950</v>
      </c>
      <c r="D185" s="1">
        <v>43384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 s="3">
        <v>51430</v>
      </c>
      <c r="W185" t="s">
        <v>73</v>
      </c>
      <c r="X185" t="s">
        <v>74</v>
      </c>
      <c r="Y185" t="s">
        <v>44</v>
      </c>
      <c r="Z185">
        <v>3</v>
      </c>
    </row>
    <row r="186" spans="1:26" x14ac:dyDescent="0.2">
      <c r="A186">
        <v>3611</v>
      </c>
      <c r="B186" t="s">
        <v>953</v>
      </c>
      <c r="C186" t="s">
        <v>954</v>
      </c>
      <c r="D186" s="1">
        <v>44264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 s="3">
        <v>85651</v>
      </c>
      <c r="W186" t="s">
        <v>55</v>
      </c>
      <c r="X186" t="s">
        <v>83</v>
      </c>
      <c r="Y186" t="s">
        <v>44</v>
      </c>
      <c r="Z186">
        <v>2</v>
      </c>
    </row>
    <row r="187" spans="1:26" x14ac:dyDescent="0.2">
      <c r="A187">
        <v>3612</v>
      </c>
      <c r="B187" t="s">
        <v>56</v>
      </c>
      <c r="C187" t="s">
        <v>957</v>
      </c>
      <c r="D187" s="1">
        <v>44584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 s="3">
        <v>68900</v>
      </c>
      <c r="W187" t="s">
        <v>92</v>
      </c>
      <c r="X187" t="s">
        <v>74</v>
      </c>
      <c r="Y187" t="s">
        <v>739</v>
      </c>
      <c r="Z187">
        <v>4</v>
      </c>
    </row>
    <row r="188" spans="1:26" x14ac:dyDescent="0.2">
      <c r="A188">
        <v>3613</v>
      </c>
      <c r="B188" t="s">
        <v>960</v>
      </c>
      <c r="C188" t="s">
        <v>382</v>
      </c>
      <c r="D188" s="1">
        <v>43520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 s="3">
        <v>9241</v>
      </c>
      <c r="W188" t="s">
        <v>127</v>
      </c>
      <c r="X188" t="s">
        <v>83</v>
      </c>
      <c r="Y188" t="s">
        <v>104</v>
      </c>
      <c r="Z188">
        <v>1</v>
      </c>
    </row>
    <row r="189" spans="1:26" x14ac:dyDescent="0.2">
      <c r="A189">
        <v>3614</v>
      </c>
      <c r="B189" t="s">
        <v>963</v>
      </c>
      <c r="C189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t="s">
        <v>88</v>
      </c>
      <c r="J189" t="s">
        <v>32</v>
      </c>
      <c r="K189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 s="3">
        <v>23691</v>
      </c>
      <c r="W189" t="s">
        <v>42</v>
      </c>
      <c r="X189" t="s">
        <v>83</v>
      </c>
      <c r="Y189" t="s">
        <v>44</v>
      </c>
      <c r="Z189">
        <v>2</v>
      </c>
    </row>
    <row r="190" spans="1:26" x14ac:dyDescent="0.2">
      <c r="A190">
        <v>3615</v>
      </c>
      <c r="B190" t="s">
        <v>969</v>
      </c>
      <c r="C190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t="s">
        <v>31</v>
      </c>
      <c r="J190" t="s">
        <v>197</v>
      </c>
      <c r="K190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 s="3">
        <v>74388</v>
      </c>
      <c r="W190" t="s">
        <v>127</v>
      </c>
      <c r="X190" t="s">
        <v>103</v>
      </c>
      <c r="Y190" t="s">
        <v>104</v>
      </c>
      <c r="Z190">
        <v>2</v>
      </c>
    </row>
    <row r="191" spans="1:26" x14ac:dyDescent="0.2">
      <c r="A191">
        <v>3616</v>
      </c>
      <c r="B191" t="s">
        <v>973</v>
      </c>
      <c r="C191" t="s">
        <v>974</v>
      </c>
      <c r="D191" s="1">
        <v>44604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 s="3">
        <v>14234</v>
      </c>
      <c r="W191" t="s">
        <v>55</v>
      </c>
      <c r="X191" t="s">
        <v>83</v>
      </c>
      <c r="Y191" t="s">
        <v>44</v>
      </c>
      <c r="Z191">
        <v>4</v>
      </c>
    </row>
    <row r="192" spans="1:26" x14ac:dyDescent="0.2">
      <c r="A192">
        <v>3617</v>
      </c>
      <c r="B192" t="s">
        <v>977</v>
      </c>
      <c r="C192" t="s">
        <v>978</v>
      </c>
      <c r="D192" s="1">
        <v>44958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 s="3">
        <v>37635</v>
      </c>
      <c r="W192" t="s">
        <v>55</v>
      </c>
      <c r="X192" t="s">
        <v>83</v>
      </c>
      <c r="Y192" t="s">
        <v>44</v>
      </c>
      <c r="Z192">
        <v>1</v>
      </c>
    </row>
    <row r="193" spans="1:26" x14ac:dyDescent="0.2">
      <c r="A193">
        <v>3618</v>
      </c>
      <c r="B193" t="s">
        <v>981</v>
      </c>
      <c r="C193" t="s">
        <v>982</v>
      </c>
      <c r="D193" s="1">
        <v>44961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 s="3">
        <v>13186</v>
      </c>
      <c r="W193" t="s">
        <v>92</v>
      </c>
      <c r="X193" t="s">
        <v>83</v>
      </c>
      <c r="Y193" t="s">
        <v>44</v>
      </c>
      <c r="Z193">
        <v>3</v>
      </c>
    </row>
    <row r="194" spans="1:26" x14ac:dyDescent="0.2">
      <c r="A194">
        <v>3619</v>
      </c>
      <c r="B194" t="s">
        <v>985</v>
      </c>
      <c r="C19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t="s">
        <v>79</v>
      </c>
      <c r="J194" t="s">
        <v>32</v>
      </c>
      <c r="K194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 s="3">
        <v>76278</v>
      </c>
      <c r="W194" t="s">
        <v>127</v>
      </c>
      <c r="X194" t="s">
        <v>83</v>
      </c>
      <c r="Y194" t="s">
        <v>44</v>
      </c>
      <c r="Z194">
        <v>3</v>
      </c>
    </row>
    <row r="195" spans="1:26" x14ac:dyDescent="0.2">
      <c r="A195">
        <v>3620</v>
      </c>
      <c r="B195" t="s">
        <v>990</v>
      </c>
      <c r="C195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t="s">
        <v>167</v>
      </c>
      <c r="J195" t="s">
        <v>32</v>
      </c>
      <c r="K19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 s="3">
        <v>77580</v>
      </c>
      <c r="W195" t="s">
        <v>55</v>
      </c>
      <c r="X195" t="s">
        <v>83</v>
      </c>
      <c r="Y195" t="s">
        <v>44</v>
      </c>
      <c r="Z195">
        <v>2</v>
      </c>
    </row>
    <row r="196" spans="1:26" x14ac:dyDescent="0.2">
      <c r="A196">
        <v>3621</v>
      </c>
      <c r="B196" t="s">
        <v>995</v>
      </c>
      <c r="C196" t="s">
        <v>996</v>
      </c>
      <c r="D196" s="1">
        <v>43432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 s="3">
        <v>15586</v>
      </c>
      <c r="W196" t="s">
        <v>42</v>
      </c>
      <c r="X196" t="s">
        <v>83</v>
      </c>
      <c r="Y196" t="s">
        <v>44</v>
      </c>
      <c r="Z196">
        <v>2</v>
      </c>
    </row>
    <row r="197" spans="1:26" x14ac:dyDescent="0.2">
      <c r="A197">
        <v>3622</v>
      </c>
      <c r="B197" t="s">
        <v>999</v>
      </c>
      <c r="C197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t="s">
        <v>132</v>
      </c>
      <c r="J197" t="s">
        <v>32</v>
      </c>
      <c r="K197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 s="3">
        <v>75607</v>
      </c>
      <c r="W197" t="s">
        <v>55</v>
      </c>
      <c r="X197" t="s">
        <v>103</v>
      </c>
      <c r="Y197" t="s">
        <v>44</v>
      </c>
      <c r="Z197">
        <v>3</v>
      </c>
    </row>
    <row r="198" spans="1:26" x14ac:dyDescent="0.2">
      <c r="A198">
        <v>3623</v>
      </c>
      <c r="B198" t="s">
        <v>541</v>
      </c>
      <c r="C198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 s="3">
        <v>47289</v>
      </c>
      <c r="W198" t="s">
        <v>127</v>
      </c>
      <c r="X198" t="s">
        <v>103</v>
      </c>
      <c r="Y198" t="s">
        <v>44</v>
      </c>
      <c r="Z198">
        <v>3</v>
      </c>
    </row>
    <row r="199" spans="1:26" x14ac:dyDescent="0.2">
      <c r="A199">
        <v>3624</v>
      </c>
      <c r="B199" t="s">
        <v>1007</v>
      </c>
      <c r="C199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 s="3">
        <v>85711</v>
      </c>
      <c r="W199" t="s">
        <v>127</v>
      </c>
      <c r="X199" t="s">
        <v>83</v>
      </c>
      <c r="Y199" t="s">
        <v>44</v>
      </c>
      <c r="Z199">
        <v>4</v>
      </c>
    </row>
    <row r="200" spans="1:26" x14ac:dyDescent="0.2">
      <c r="A200">
        <v>3625</v>
      </c>
      <c r="B200" t="s">
        <v>1012</v>
      </c>
      <c r="C200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t="s">
        <v>79</v>
      </c>
      <c r="J200" t="s">
        <v>744</v>
      </c>
      <c r="K200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 s="3">
        <v>54392</v>
      </c>
      <c r="W200" t="s">
        <v>127</v>
      </c>
      <c r="X200" t="s">
        <v>74</v>
      </c>
      <c r="Y200" t="s">
        <v>44</v>
      </c>
      <c r="Z200">
        <v>5</v>
      </c>
    </row>
    <row r="201" spans="1:26" x14ac:dyDescent="0.2">
      <c r="A201">
        <v>3626</v>
      </c>
      <c r="B201" t="s">
        <v>1016</v>
      </c>
      <c r="C201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 s="3">
        <v>61825</v>
      </c>
      <c r="W201" t="s">
        <v>127</v>
      </c>
      <c r="X201" t="s">
        <v>74</v>
      </c>
      <c r="Y201" t="s">
        <v>44</v>
      </c>
      <c r="Z201">
        <v>2</v>
      </c>
    </row>
    <row r="202" spans="1:26" x14ac:dyDescent="0.2">
      <c r="A202">
        <v>3627</v>
      </c>
      <c r="B202" t="s">
        <v>1020</v>
      </c>
      <c r="C202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t="s">
        <v>97</v>
      </c>
      <c r="J202" t="s">
        <v>744</v>
      </c>
      <c r="K202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 s="3">
        <v>52646</v>
      </c>
      <c r="W202" t="s">
        <v>92</v>
      </c>
      <c r="X202" t="s">
        <v>83</v>
      </c>
      <c r="Y202" t="s">
        <v>44</v>
      </c>
      <c r="Z202">
        <v>3</v>
      </c>
    </row>
    <row r="203" spans="1:26" x14ac:dyDescent="0.2">
      <c r="A203">
        <v>3628</v>
      </c>
      <c r="B203" t="s">
        <v>1025</v>
      </c>
      <c r="C20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 s="3">
        <v>56126</v>
      </c>
      <c r="W203" t="s">
        <v>55</v>
      </c>
      <c r="X203" t="s">
        <v>83</v>
      </c>
      <c r="Y203" t="s">
        <v>44</v>
      </c>
      <c r="Z203">
        <v>3</v>
      </c>
    </row>
    <row r="204" spans="1:26" x14ac:dyDescent="0.2">
      <c r="A204">
        <v>3629</v>
      </c>
      <c r="B204" t="s">
        <v>1029</v>
      </c>
      <c r="C20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t="s">
        <v>117</v>
      </c>
      <c r="J204" t="s">
        <v>744</v>
      </c>
      <c r="K204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 s="3">
        <v>70056</v>
      </c>
      <c r="W204" t="s">
        <v>92</v>
      </c>
      <c r="X204" t="s">
        <v>103</v>
      </c>
      <c r="Y204" t="s">
        <v>44</v>
      </c>
      <c r="Z204">
        <v>5</v>
      </c>
    </row>
    <row r="205" spans="1:26" x14ac:dyDescent="0.2">
      <c r="A205">
        <v>3630</v>
      </c>
      <c r="B205" t="s">
        <v>1034</v>
      </c>
      <c r="C205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 s="3">
        <v>81819</v>
      </c>
      <c r="W205" t="s">
        <v>73</v>
      </c>
      <c r="X205" t="s">
        <v>43</v>
      </c>
      <c r="Y205" t="s">
        <v>44</v>
      </c>
      <c r="Z205">
        <v>5</v>
      </c>
    </row>
    <row r="206" spans="1:26" x14ac:dyDescent="0.2">
      <c r="A206">
        <v>3631</v>
      </c>
      <c r="B206" t="s">
        <v>1038</v>
      </c>
      <c r="C206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t="s">
        <v>49</v>
      </c>
      <c r="J206" t="s">
        <v>32</v>
      </c>
      <c r="K20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 s="3">
        <v>12978</v>
      </c>
      <c r="W206" t="s">
        <v>73</v>
      </c>
      <c r="X206" t="s">
        <v>103</v>
      </c>
      <c r="Y206" t="s">
        <v>44</v>
      </c>
      <c r="Z206">
        <v>3</v>
      </c>
    </row>
    <row r="207" spans="1:26" x14ac:dyDescent="0.2">
      <c r="A207">
        <v>3632</v>
      </c>
      <c r="B207" t="s">
        <v>668</v>
      </c>
      <c r="C207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t="s">
        <v>31</v>
      </c>
      <c r="J207" t="s">
        <v>32</v>
      </c>
      <c r="K207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 s="3">
        <v>37983</v>
      </c>
      <c r="W207" t="s">
        <v>127</v>
      </c>
      <c r="X207" t="s">
        <v>83</v>
      </c>
      <c r="Y207" t="s">
        <v>44</v>
      </c>
      <c r="Z207">
        <v>3</v>
      </c>
    </row>
    <row r="208" spans="1:26" x14ac:dyDescent="0.2">
      <c r="A208">
        <v>3633</v>
      </c>
      <c r="B208" t="s">
        <v>1048</v>
      </c>
      <c r="C208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 s="3">
        <v>56687</v>
      </c>
      <c r="W208" t="s">
        <v>55</v>
      </c>
      <c r="X208" t="s">
        <v>74</v>
      </c>
      <c r="Y208" t="s">
        <v>44</v>
      </c>
      <c r="Z208">
        <v>5</v>
      </c>
    </row>
    <row r="209" spans="1:26" x14ac:dyDescent="0.2">
      <c r="A209">
        <v>3634</v>
      </c>
      <c r="B209" t="s">
        <v>1052</v>
      </c>
      <c r="C209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t="s">
        <v>167</v>
      </c>
      <c r="J209" t="s">
        <v>32</v>
      </c>
      <c r="K209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 s="3">
        <v>40148</v>
      </c>
      <c r="W209" t="s">
        <v>73</v>
      </c>
      <c r="X209" t="s">
        <v>83</v>
      </c>
      <c r="Y209" t="s">
        <v>44</v>
      </c>
      <c r="Z209">
        <v>5</v>
      </c>
    </row>
    <row r="210" spans="1:26" x14ac:dyDescent="0.2">
      <c r="A210">
        <v>3635</v>
      </c>
      <c r="B210" t="s">
        <v>1057</v>
      </c>
      <c r="C210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 s="3">
        <v>71593</v>
      </c>
      <c r="W210" t="s">
        <v>55</v>
      </c>
      <c r="X210" t="s">
        <v>74</v>
      </c>
      <c r="Y210" t="s">
        <v>44</v>
      </c>
      <c r="Z210">
        <v>4</v>
      </c>
    </row>
    <row r="211" spans="1:26" x14ac:dyDescent="0.2">
      <c r="A211">
        <v>3636</v>
      </c>
      <c r="B211" t="s">
        <v>1062</v>
      </c>
      <c r="C211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 s="3">
        <v>10775</v>
      </c>
      <c r="W211" t="s">
        <v>127</v>
      </c>
      <c r="X211" t="s">
        <v>103</v>
      </c>
      <c r="Y211" t="s">
        <v>44</v>
      </c>
      <c r="Z211">
        <v>3</v>
      </c>
    </row>
    <row r="212" spans="1:26" x14ac:dyDescent="0.2">
      <c r="A212">
        <v>3637</v>
      </c>
      <c r="B212" t="s">
        <v>863</v>
      </c>
      <c r="C212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 s="3">
        <v>59441</v>
      </c>
      <c r="W212" t="s">
        <v>127</v>
      </c>
      <c r="X212" t="s">
        <v>103</v>
      </c>
      <c r="Y212" t="s">
        <v>44</v>
      </c>
      <c r="Z212">
        <v>3</v>
      </c>
    </row>
    <row r="213" spans="1:26" x14ac:dyDescent="0.2">
      <c r="A213">
        <v>3638</v>
      </c>
      <c r="B213" t="s">
        <v>1068</v>
      </c>
      <c r="C21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 s="3">
        <v>55470</v>
      </c>
      <c r="W213" t="s">
        <v>55</v>
      </c>
      <c r="X213" t="s">
        <v>74</v>
      </c>
      <c r="Y213" t="s">
        <v>44</v>
      </c>
      <c r="Z213">
        <v>3</v>
      </c>
    </row>
    <row r="214" spans="1:26" x14ac:dyDescent="0.2">
      <c r="A214">
        <v>3639</v>
      </c>
      <c r="B214" t="s">
        <v>1072</v>
      </c>
      <c r="C21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t="s">
        <v>31</v>
      </c>
      <c r="J214" t="s">
        <v>197</v>
      </c>
      <c r="K214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 s="3">
        <v>8655</v>
      </c>
      <c r="W214" t="s">
        <v>55</v>
      </c>
      <c r="X214" t="s">
        <v>103</v>
      </c>
      <c r="Y214" t="s">
        <v>44</v>
      </c>
      <c r="Z214">
        <v>3</v>
      </c>
    </row>
    <row r="215" spans="1:26" x14ac:dyDescent="0.2">
      <c r="A215">
        <v>3640</v>
      </c>
      <c r="B215" t="s">
        <v>1077</v>
      </c>
      <c r="C215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 s="3">
        <v>48077</v>
      </c>
      <c r="W215" t="s">
        <v>127</v>
      </c>
      <c r="X215" t="s">
        <v>103</v>
      </c>
      <c r="Y215" t="s">
        <v>44</v>
      </c>
      <c r="Z215">
        <v>3</v>
      </c>
    </row>
    <row r="216" spans="1:26" x14ac:dyDescent="0.2">
      <c r="A216">
        <v>3641</v>
      </c>
      <c r="B216" t="s">
        <v>1081</v>
      </c>
      <c r="C216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t="s">
        <v>49</v>
      </c>
      <c r="J216" t="s">
        <v>197</v>
      </c>
      <c r="K21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 s="3">
        <v>56039</v>
      </c>
      <c r="W216" t="s">
        <v>73</v>
      </c>
      <c r="X216" t="s">
        <v>43</v>
      </c>
      <c r="Y216" t="s">
        <v>44</v>
      </c>
      <c r="Z216">
        <v>3</v>
      </c>
    </row>
    <row r="217" spans="1:26" x14ac:dyDescent="0.2">
      <c r="A217">
        <v>3642</v>
      </c>
      <c r="B217" t="s">
        <v>985</v>
      </c>
      <c r="C217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t="s">
        <v>138</v>
      </c>
      <c r="J217" t="s">
        <v>197</v>
      </c>
      <c r="K217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 s="3">
        <v>7474</v>
      </c>
      <c r="W217" t="s">
        <v>92</v>
      </c>
      <c r="X217" t="s">
        <v>74</v>
      </c>
      <c r="Y217" t="s">
        <v>44</v>
      </c>
      <c r="Z217">
        <v>3</v>
      </c>
    </row>
    <row r="218" spans="1:26" x14ac:dyDescent="0.2">
      <c r="A218">
        <v>3643</v>
      </c>
      <c r="B218" t="s">
        <v>1089</v>
      </c>
      <c r="C218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 s="3">
        <v>9287</v>
      </c>
      <c r="W218" t="s">
        <v>127</v>
      </c>
      <c r="X218" t="s">
        <v>74</v>
      </c>
      <c r="Y218" t="s">
        <v>44</v>
      </c>
      <c r="Z218">
        <v>3</v>
      </c>
    </row>
    <row r="219" spans="1:26" x14ac:dyDescent="0.2">
      <c r="A219">
        <v>3644</v>
      </c>
      <c r="B219" t="s">
        <v>1093</v>
      </c>
      <c r="C219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 s="3">
        <v>42213</v>
      </c>
      <c r="W219" t="s">
        <v>92</v>
      </c>
      <c r="X219" t="s">
        <v>83</v>
      </c>
      <c r="Y219" t="s">
        <v>44</v>
      </c>
      <c r="Z219">
        <v>3</v>
      </c>
    </row>
    <row r="220" spans="1:26" x14ac:dyDescent="0.2">
      <c r="A220">
        <v>3645</v>
      </c>
      <c r="B220" t="s">
        <v>1097</v>
      </c>
      <c r="C220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 s="3">
        <v>34428</v>
      </c>
      <c r="W220" t="s">
        <v>127</v>
      </c>
      <c r="X220" t="s">
        <v>74</v>
      </c>
      <c r="Y220" t="s">
        <v>44</v>
      </c>
      <c r="Z220">
        <v>3</v>
      </c>
    </row>
    <row r="221" spans="1:26" x14ac:dyDescent="0.2">
      <c r="A221">
        <v>3646</v>
      </c>
      <c r="B221" t="s">
        <v>890</v>
      </c>
      <c r="C221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 s="3">
        <v>77551</v>
      </c>
      <c r="W221" t="s">
        <v>55</v>
      </c>
      <c r="X221" t="s">
        <v>43</v>
      </c>
      <c r="Y221" t="s">
        <v>44</v>
      </c>
      <c r="Z221">
        <v>3</v>
      </c>
    </row>
    <row r="222" spans="1:26" x14ac:dyDescent="0.2">
      <c r="A222">
        <v>3647</v>
      </c>
      <c r="B222" t="s">
        <v>1103</v>
      </c>
      <c r="C222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t="s">
        <v>49</v>
      </c>
      <c r="J222" t="s">
        <v>744</v>
      </c>
      <c r="K222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 s="3">
        <v>20847</v>
      </c>
      <c r="W222" t="s">
        <v>92</v>
      </c>
      <c r="X222" t="s">
        <v>74</v>
      </c>
      <c r="Y222" t="s">
        <v>44</v>
      </c>
      <c r="Z222">
        <v>3</v>
      </c>
    </row>
    <row r="223" spans="1:26" x14ac:dyDescent="0.2">
      <c r="A223">
        <v>3648</v>
      </c>
      <c r="B223" t="s">
        <v>1052</v>
      </c>
      <c r="C22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 s="3">
        <v>76615</v>
      </c>
      <c r="W223" t="s">
        <v>73</v>
      </c>
      <c r="X223" t="s">
        <v>103</v>
      </c>
      <c r="Y223" t="s">
        <v>104</v>
      </c>
      <c r="Z223">
        <v>4</v>
      </c>
    </row>
    <row r="224" spans="1:26" x14ac:dyDescent="0.2">
      <c r="A224">
        <v>3649</v>
      </c>
      <c r="B224" t="s">
        <v>1111</v>
      </c>
      <c r="C22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 s="3">
        <v>26602</v>
      </c>
      <c r="W224" t="s">
        <v>42</v>
      </c>
      <c r="X224" t="s">
        <v>83</v>
      </c>
      <c r="Y224" t="s">
        <v>104</v>
      </c>
      <c r="Z224">
        <v>4</v>
      </c>
    </row>
    <row r="225" spans="1:26" x14ac:dyDescent="0.2">
      <c r="A225">
        <v>3650</v>
      </c>
      <c r="B225" t="s">
        <v>960</v>
      </c>
      <c r="C225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t="s">
        <v>167</v>
      </c>
      <c r="J225" t="s">
        <v>744</v>
      </c>
      <c r="K22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 s="3">
        <v>72818</v>
      </c>
      <c r="W225" t="s">
        <v>42</v>
      </c>
      <c r="X225" t="s">
        <v>103</v>
      </c>
      <c r="Y225" t="s">
        <v>44</v>
      </c>
      <c r="Z225">
        <v>3</v>
      </c>
    </row>
    <row r="226" spans="1:26" x14ac:dyDescent="0.2">
      <c r="A226">
        <v>3651</v>
      </c>
      <c r="B226" t="s">
        <v>158</v>
      </c>
      <c r="C226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 s="3">
        <v>90347</v>
      </c>
      <c r="W226" t="s">
        <v>42</v>
      </c>
      <c r="X226" t="s">
        <v>74</v>
      </c>
      <c r="Y226" t="s">
        <v>44</v>
      </c>
      <c r="Z226">
        <v>3</v>
      </c>
    </row>
    <row r="227" spans="1:26" x14ac:dyDescent="0.2">
      <c r="A227">
        <v>3652</v>
      </c>
      <c r="B227" t="s">
        <v>922</v>
      </c>
      <c r="C227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t="s">
        <v>117</v>
      </c>
      <c r="J227" t="s">
        <v>744</v>
      </c>
      <c r="K227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 s="3">
        <v>96845</v>
      </c>
      <c r="W227" t="s">
        <v>73</v>
      </c>
      <c r="X227" t="s">
        <v>83</v>
      </c>
      <c r="Y227" t="s">
        <v>44</v>
      </c>
      <c r="Z227">
        <v>3</v>
      </c>
    </row>
    <row r="228" spans="1:26" x14ac:dyDescent="0.2">
      <c r="A228">
        <v>3653</v>
      </c>
      <c r="B228" t="s">
        <v>963</v>
      </c>
      <c r="C228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t="s">
        <v>61</v>
      </c>
      <c r="J228" t="s">
        <v>744</v>
      </c>
      <c r="K228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 s="3">
        <v>67277</v>
      </c>
      <c r="W228" t="s">
        <v>127</v>
      </c>
      <c r="X228" t="s">
        <v>43</v>
      </c>
      <c r="Y228" t="s">
        <v>104</v>
      </c>
      <c r="Z228">
        <v>3</v>
      </c>
    </row>
    <row r="229" spans="1:26" x14ac:dyDescent="0.2">
      <c r="A229">
        <v>3654</v>
      </c>
      <c r="B229" t="s">
        <v>1130</v>
      </c>
      <c r="C229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 s="3">
        <v>17975</v>
      </c>
      <c r="W229" t="s">
        <v>127</v>
      </c>
      <c r="X229" t="s">
        <v>103</v>
      </c>
      <c r="Y229" t="s">
        <v>104</v>
      </c>
      <c r="Z229">
        <v>4</v>
      </c>
    </row>
    <row r="230" spans="1:26" x14ac:dyDescent="0.2">
      <c r="A230">
        <v>3655</v>
      </c>
      <c r="B230" t="s">
        <v>1134</v>
      </c>
      <c r="C230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 s="3">
        <v>97142</v>
      </c>
      <c r="W230" t="s">
        <v>127</v>
      </c>
      <c r="X230" t="s">
        <v>83</v>
      </c>
      <c r="Y230" t="s">
        <v>44</v>
      </c>
      <c r="Z230">
        <v>3</v>
      </c>
    </row>
    <row r="231" spans="1:26" x14ac:dyDescent="0.2">
      <c r="A231">
        <v>3656</v>
      </c>
      <c r="B231" t="s">
        <v>1138</v>
      </c>
      <c r="C231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 s="3">
        <v>72523</v>
      </c>
      <c r="W231" t="s">
        <v>55</v>
      </c>
      <c r="X231" t="s">
        <v>103</v>
      </c>
      <c r="Y231" t="s">
        <v>104</v>
      </c>
      <c r="Z231">
        <v>5</v>
      </c>
    </row>
    <row r="232" spans="1:26" x14ac:dyDescent="0.2">
      <c r="A232">
        <v>3657</v>
      </c>
      <c r="B232" t="s">
        <v>1142</v>
      </c>
      <c r="C232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 s="3">
        <v>44406</v>
      </c>
      <c r="W232" t="s">
        <v>92</v>
      </c>
      <c r="X232" t="s">
        <v>74</v>
      </c>
      <c r="Y232" t="s">
        <v>44</v>
      </c>
      <c r="Z232">
        <v>4</v>
      </c>
    </row>
    <row r="233" spans="1:26" x14ac:dyDescent="0.2">
      <c r="A233">
        <v>3658</v>
      </c>
      <c r="B233" t="s">
        <v>678</v>
      </c>
      <c r="C23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t="s">
        <v>88</v>
      </c>
      <c r="J233" t="s">
        <v>32</v>
      </c>
      <c r="K233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 s="3">
        <v>95682</v>
      </c>
      <c r="W233" t="s">
        <v>92</v>
      </c>
      <c r="X233" t="s">
        <v>103</v>
      </c>
      <c r="Y233" t="s">
        <v>44</v>
      </c>
      <c r="Z233">
        <v>3</v>
      </c>
    </row>
    <row r="234" spans="1:26" x14ac:dyDescent="0.2">
      <c r="A234">
        <v>3659</v>
      </c>
      <c r="B234" t="s">
        <v>1150</v>
      </c>
      <c r="C23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t="s">
        <v>31</v>
      </c>
      <c r="J234" t="s">
        <v>32</v>
      </c>
      <c r="K234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 s="3">
        <v>86746</v>
      </c>
      <c r="W234" t="s">
        <v>73</v>
      </c>
      <c r="X234" t="s">
        <v>103</v>
      </c>
      <c r="Y234" t="s">
        <v>104</v>
      </c>
      <c r="Z234">
        <v>1</v>
      </c>
    </row>
    <row r="235" spans="1:26" x14ac:dyDescent="0.2">
      <c r="A235">
        <v>3660</v>
      </c>
      <c r="B235" t="s">
        <v>1155</v>
      </c>
      <c r="C235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 s="3">
        <v>73540</v>
      </c>
      <c r="W235" t="s">
        <v>55</v>
      </c>
      <c r="X235" t="s">
        <v>74</v>
      </c>
      <c r="Y235" t="s">
        <v>104</v>
      </c>
      <c r="Z235">
        <v>3</v>
      </c>
    </row>
    <row r="236" spans="1:26" x14ac:dyDescent="0.2">
      <c r="A236">
        <v>3661</v>
      </c>
      <c r="B236" t="s">
        <v>1159</v>
      </c>
      <c r="C236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t="s">
        <v>138</v>
      </c>
      <c r="J236" t="s">
        <v>32</v>
      </c>
      <c r="K23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 s="3">
        <v>21624</v>
      </c>
      <c r="W236" t="s">
        <v>127</v>
      </c>
      <c r="X236" t="s">
        <v>83</v>
      </c>
      <c r="Y236" t="s">
        <v>44</v>
      </c>
      <c r="Z236">
        <v>3</v>
      </c>
    </row>
    <row r="237" spans="1:26" x14ac:dyDescent="0.2">
      <c r="A237">
        <v>3662</v>
      </c>
      <c r="B237" t="s">
        <v>1164</v>
      </c>
      <c r="C237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 s="3">
        <v>90473</v>
      </c>
      <c r="W237" t="s">
        <v>73</v>
      </c>
      <c r="X237" t="s">
        <v>83</v>
      </c>
      <c r="Y237" t="s">
        <v>104</v>
      </c>
      <c r="Z237">
        <v>2</v>
      </c>
    </row>
    <row r="238" spans="1:26" x14ac:dyDescent="0.2">
      <c r="A238">
        <v>3663</v>
      </c>
      <c r="B238" t="s">
        <v>1168</v>
      </c>
      <c r="C238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t="s">
        <v>61</v>
      </c>
      <c r="J238" t="s">
        <v>197</v>
      </c>
      <c r="K238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 s="3">
        <v>13534</v>
      </c>
      <c r="W238" t="s">
        <v>92</v>
      </c>
      <c r="X238" t="s">
        <v>74</v>
      </c>
      <c r="Y238" t="s">
        <v>104</v>
      </c>
      <c r="Z238">
        <v>3</v>
      </c>
    </row>
    <row r="239" spans="1:26" x14ac:dyDescent="0.2">
      <c r="A239">
        <v>3664</v>
      </c>
      <c r="B239" t="s">
        <v>1173</v>
      </c>
      <c r="C239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t="s">
        <v>167</v>
      </c>
      <c r="J239" t="s">
        <v>197</v>
      </c>
      <c r="K239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 s="3">
        <v>2667</v>
      </c>
      <c r="W239" t="s">
        <v>73</v>
      </c>
      <c r="X239" t="s">
        <v>43</v>
      </c>
      <c r="Y239" t="s">
        <v>44</v>
      </c>
      <c r="Z239">
        <v>3</v>
      </c>
    </row>
    <row r="240" spans="1:26" x14ac:dyDescent="0.2">
      <c r="A240">
        <v>3665</v>
      </c>
      <c r="B240" t="s">
        <v>189</v>
      </c>
      <c r="C240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 s="3">
        <v>54319</v>
      </c>
      <c r="W240" t="s">
        <v>127</v>
      </c>
      <c r="X240" t="s">
        <v>83</v>
      </c>
      <c r="Y240" t="s">
        <v>44</v>
      </c>
      <c r="Z240">
        <v>3</v>
      </c>
    </row>
    <row r="241" spans="1:26" x14ac:dyDescent="0.2">
      <c r="A241">
        <v>3666</v>
      </c>
      <c r="B241" t="s">
        <v>1182</v>
      </c>
      <c r="C241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t="s">
        <v>79</v>
      </c>
      <c r="J241" t="s">
        <v>32</v>
      </c>
      <c r="K241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 s="3">
        <v>16052</v>
      </c>
      <c r="W241" t="s">
        <v>55</v>
      </c>
      <c r="X241" t="s">
        <v>74</v>
      </c>
      <c r="Y241" t="s">
        <v>44</v>
      </c>
      <c r="Z241">
        <v>3</v>
      </c>
    </row>
    <row r="242" spans="1:26" x14ac:dyDescent="0.2">
      <c r="A242">
        <v>3667</v>
      </c>
      <c r="B242" t="s">
        <v>1187</v>
      </c>
      <c r="C242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t="s">
        <v>97</v>
      </c>
      <c r="J242" t="s">
        <v>32</v>
      </c>
      <c r="K242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 s="3">
        <v>18998</v>
      </c>
      <c r="W242" t="s">
        <v>92</v>
      </c>
      <c r="X242" t="s">
        <v>74</v>
      </c>
      <c r="Y242" t="s">
        <v>44</v>
      </c>
      <c r="Z242">
        <v>3</v>
      </c>
    </row>
    <row r="243" spans="1:26" x14ac:dyDescent="0.2">
      <c r="A243">
        <v>3668</v>
      </c>
      <c r="B243" t="s">
        <v>995</v>
      </c>
      <c r="C24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t="s">
        <v>88</v>
      </c>
      <c r="J243" t="s">
        <v>32</v>
      </c>
      <c r="K243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 s="3">
        <v>33735</v>
      </c>
      <c r="W243" t="s">
        <v>127</v>
      </c>
      <c r="X243" t="s">
        <v>43</v>
      </c>
      <c r="Y243" t="s">
        <v>235</v>
      </c>
      <c r="Z243">
        <v>3</v>
      </c>
    </row>
    <row r="244" spans="1:26" x14ac:dyDescent="0.2">
      <c r="A244">
        <v>3669</v>
      </c>
      <c r="B244" t="s">
        <v>1195</v>
      </c>
      <c r="C24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t="s">
        <v>31</v>
      </c>
      <c r="J244" t="s">
        <v>744</v>
      </c>
      <c r="K244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 s="3">
        <v>81928</v>
      </c>
      <c r="W244" t="s">
        <v>92</v>
      </c>
      <c r="X244" t="s">
        <v>43</v>
      </c>
      <c r="Y244" t="s">
        <v>44</v>
      </c>
      <c r="Z244">
        <v>3</v>
      </c>
    </row>
    <row r="245" spans="1:26" x14ac:dyDescent="0.2">
      <c r="A245">
        <v>3670</v>
      </c>
      <c r="B245" t="s">
        <v>1200</v>
      </c>
      <c r="C245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t="s">
        <v>132</v>
      </c>
      <c r="J245" t="s">
        <v>32</v>
      </c>
      <c r="K24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 s="3">
        <v>14006</v>
      </c>
      <c r="W245" t="s">
        <v>55</v>
      </c>
      <c r="X245" t="s">
        <v>43</v>
      </c>
      <c r="Y245" t="s">
        <v>235</v>
      </c>
      <c r="Z245">
        <v>3</v>
      </c>
    </row>
    <row r="246" spans="1:26" x14ac:dyDescent="0.2">
      <c r="A246">
        <v>3671</v>
      </c>
      <c r="B246" t="s">
        <v>1204</v>
      </c>
      <c r="C246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t="s">
        <v>49</v>
      </c>
      <c r="J246" t="s">
        <v>744</v>
      </c>
      <c r="K24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 s="3">
        <v>45376</v>
      </c>
      <c r="W246" t="s">
        <v>127</v>
      </c>
      <c r="X246" t="s">
        <v>103</v>
      </c>
      <c r="Y246" t="s">
        <v>235</v>
      </c>
      <c r="Z246">
        <v>3</v>
      </c>
    </row>
    <row r="247" spans="1:26" x14ac:dyDescent="0.2">
      <c r="A247">
        <v>3672</v>
      </c>
      <c r="B247" t="s">
        <v>1209</v>
      </c>
      <c r="C247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 s="3">
        <v>44501</v>
      </c>
      <c r="W247" t="s">
        <v>127</v>
      </c>
      <c r="X247" t="s">
        <v>103</v>
      </c>
      <c r="Y247" t="s">
        <v>44</v>
      </c>
      <c r="Z247">
        <v>3</v>
      </c>
    </row>
    <row r="248" spans="1:26" x14ac:dyDescent="0.2">
      <c r="A248">
        <v>3673</v>
      </c>
      <c r="B248" t="s">
        <v>1213</v>
      </c>
      <c r="C248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t="s">
        <v>79</v>
      </c>
      <c r="J248" t="s">
        <v>744</v>
      </c>
      <c r="K248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 s="3">
        <v>47767</v>
      </c>
      <c r="W248" t="s">
        <v>73</v>
      </c>
      <c r="X248" t="s">
        <v>43</v>
      </c>
      <c r="Y248" t="s">
        <v>44</v>
      </c>
      <c r="Z248">
        <v>3</v>
      </c>
    </row>
    <row r="249" spans="1:26" x14ac:dyDescent="0.2">
      <c r="A249">
        <v>3674</v>
      </c>
      <c r="B249" t="s">
        <v>1218</v>
      </c>
      <c r="C249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t="s">
        <v>88</v>
      </c>
      <c r="J249" t="s">
        <v>744</v>
      </c>
      <c r="K249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 s="3">
        <v>39141</v>
      </c>
      <c r="W249" t="s">
        <v>73</v>
      </c>
      <c r="X249" t="s">
        <v>74</v>
      </c>
      <c r="Y249" t="s">
        <v>44</v>
      </c>
      <c r="Z249">
        <v>3</v>
      </c>
    </row>
    <row r="250" spans="1:26" x14ac:dyDescent="0.2">
      <c r="A250">
        <v>3675</v>
      </c>
      <c r="B250" t="s">
        <v>1223</v>
      </c>
      <c r="C250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t="s">
        <v>31</v>
      </c>
      <c r="J250" t="s">
        <v>32</v>
      </c>
      <c r="K250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 s="3">
        <v>70090</v>
      </c>
      <c r="W250" t="s">
        <v>55</v>
      </c>
      <c r="X250" t="s">
        <v>103</v>
      </c>
      <c r="Y250" t="s">
        <v>44</v>
      </c>
      <c r="Z250">
        <v>3</v>
      </c>
    </row>
    <row r="251" spans="1:26" x14ac:dyDescent="0.2">
      <c r="A251">
        <v>3676</v>
      </c>
      <c r="B251" t="s">
        <v>1228</v>
      </c>
      <c r="C251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 s="3">
        <v>35858</v>
      </c>
      <c r="W251" t="s">
        <v>92</v>
      </c>
      <c r="X251" t="s">
        <v>103</v>
      </c>
      <c r="Y251" t="s">
        <v>44</v>
      </c>
      <c r="Z251">
        <v>3</v>
      </c>
    </row>
    <row r="252" spans="1:26" x14ac:dyDescent="0.2">
      <c r="A252">
        <v>3677</v>
      </c>
      <c r="B252" t="s">
        <v>1232</v>
      </c>
      <c r="C252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 s="3">
        <v>27462</v>
      </c>
      <c r="W252" t="s">
        <v>55</v>
      </c>
      <c r="X252" t="s">
        <v>74</v>
      </c>
      <c r="Y252" t="s">
        <v>44</v>
      </c>
      <c r="Z252">
        <v>3</v>
      </c>
    </row>
    <row r="253" spans="1:26" x14ac:dyDescent="0.2">
      <c r="A253">
        <v>3678</v>
      </c>
      <c r="B253" t="s">
        <v>1235</v>
      </c>
      <c r="C25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 s="3">
        <v>65321</v>
      </c>
      <c r="W253" t="s">
        <v>127</v>
      </c>
      <c r="X253" t="s">
        <v>74</v>
      </c>
      <c r="Y253" t="s">
        <v>44</v>
      </c>
      <c r="Z253">
        <v>3</v>
      </c>
    </row>
    <row r="254" spans="1:26" x14ac:dyDescent="0.2">
      <c r="A254">
        <v>3679</v>
      </c>
      <c r="B254" t="s">
        <v>1238</v>
      </c>
      <c r="C25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 s="3">
        <v>54017</v>
      </c>
      <c r="W254" t="s">
        <v>127</v>
      </c>
      <c r="X254" t="s">
        <v>103</v>
      </c>
      <c r="Y254" t="s">
        <v>44</v>
      </c>
      <c r="Z254">
        <v>3</v>
      </c>
    </row>
    <row r="255" spans="1:26" x14ac:dyDescent="0.2">
      <c r="A255">
        <v>3680</v>
      </c>
      <c r="B255" t="s">
        <v>1239</v>
      </c>
      <c r="C255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 s="3">
        <v>51584</v>
      </c>
      <c r="W255" t="s">
        <v>73</v>
      </c>
      <c r="X255" t="s">
        <v>103</v>
      </c>
      <c r="Y255" t="s">
        <v>44</v>
      </c>
      <c r="Z255">
        <v>3</v>
      </c>
    </row>
    <row r="256" spans="1:26" x14ac:dyDescent="0.2">
      <c r="A256">
        <v>3681</v>
      </c>
      <c r="B256" t="s">
        <v>1245</v>
      </c>
      <c r="C256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 s="3">
        <v>75321</v>
      </c>
      <c r="W256" t="s">
        <v>92</v>
      </c>
      <c r="X256" t="s">
        <v>43</v>
      </c>
      <c r="Y256" t="s">
        <v>44</v>
      </c>
      <c r="Z256">
        <v>3</v>
      </c>
    </row>
    <row r="257" spans="1:26" x14ac:dyDescent="0.2">
      <c r="A257">
        <v>3682</v>
      </c>
      <c r="B257" t="s">
        <v>1248</v>
      </c>
      <c r="C257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 s="3">
        <v>37646</v>
      </c>
      <c r="W257" t="s">
        <v>92</v>
      </c>
      <c r="X257" t="s">
        <v>74</v>
      </c>
      <c r="Y257" t="s">
        <v>44</v>
      </c>
      <c r="Z257">
        <v>4</v>
      </c>
    </row>
    <row r="258" spans="1:26" x14ac:dyDescent="0.2">
      <c r="A258">
        <v>3683</v>
      </c>
      <c r="B258" t="s">
        <v>1252</v>
      </c>
      <c r="C258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t="s">
        <v>97</v>
      </c>
      <c r="J258" t="s">
        <v>32</v>
      </c>
      <c r="K258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 s="3">
        <v>33204</v>
      </c>
      <c r="W258" t="s">
        <v>73</v>
      </c>
      <c r="X258" t="s">
        <v>103</v>
      </c>
      <c r="Y258" t="s">
        <v>44</v>
      </c>
      <c r="Z258">
        <v>3</v>
      </c>
    </row>
    <row r="259" spans="1:26" x14ac:dyDescent="0.2">
      <c r="A259">
        <v>3684</v>
      </c>
      <c r="B259" t="s">
        <v>1258</v>
      </c>
      <c r="C259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t="s">
        <v>117</v>
      </c>
      <c r="J259" t="s">
        <v>32</v>
      </c>
      <c r="K259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 s="3">
        <v>76198</v>
      </c>
      <c r="W259" t="s">
        <v>55</v>
      </c>
      <c r="X259" t="s">
        <v>43</v>
      </c>
      <c r="Y259" t="s">
        <v>44</v>
      </c>
      <c r="Z259">
        <v>3</v>
      </c>
    </row>
    <row r="260" spans="1:26" x14ac:dyDescent="0.2">
      <c r="A260">
        <v>3685</v>
      </c>
      <c r="B260" t="s">
        <v>1263</v>
      </c>
      <c r="C260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t="s">
        <v>61</v>
      </c>
      <c r="J260" t="s">
        <v>32</v>
      </c>
      <c r="K260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 s="3">
        <v>10600</v>
      </c>
      <c r="W260" t="s">
        <v>127</v>
      </c>
      <c r="X260" t="s">
        <v>43</v>
      </c>
      <c r="Y260" t="s">
        <v>44</v>
      </c>
      <c r="Z260">
        <v>3</v>
      </c>
    </row>
    <row r="261" spans="1:26" x14ac:dyDescent="0.2">
      <c r="A261">
        <v>3686</v>
      </c>
      <c r="B261" t="s">
        <v>1268</v>
      </c>
      <c r="C261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t="s">
        <v>88</v>
      </c>
      <c r="J261" t="s">
        <v>197</v>
      </c>
      <c r="K261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 s="3">
        <v>67909</v>
      </c>
      <c r="W261" t="s">
        <v>42</v>
      </c>
      <c r="X261" t="s">
        <v>74</v>
      </c>
      <c r="Y261" t="s">
        <v>104</v>
      </c>
      <c r="Z261">
        <v>1</v>
      </c>
    </row>
    <row r="262" spans="1:26" x14ac:dyDescent="0.2">
      <c r="A262">
        <v>3687</v>
      </c>
      <c r="B262" t="s">
        <v>1273</v>
      </c>
      <c r="C262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 s="3">
        <v>26340</v>
      </c>
      <c r="W262" t="s">
        <v>42</v>
      </c>
      <c r="X262" t="s">
        <v>103</v>
      </c>
      <c r="Y262" t="s">
        <v>104</v>
      </c>
      <c r="Z262">
        <v>1</v>
      </c>
    </row>
    <row r="263" spans="1:26" x14ac:dyDescent="0.2">
      <c r="A263">
        <v>3688</v>
      </c>
      <c r="B263" t="s">
        <v>1277</v>
      </c>
      <c r="C26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t="s">
        <v>132</v>
      </c>
      <c r="J263" t="s">
        <v>197</v>
      </c>
      <c r="K263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 s="3">
        <v>42113</v>
      </c>
      <c r="W263" t="s">
        <v>127</v>
      </c>
      <c r="X263" t="s">
        <v>103</v>
      </c>
      <c r="Y263" t="s">
        <v>104</v>
      </c>
      <c r="Z263">
        <v>3</v>
      </c>
    </row>
    <row r="264" spans="1:26" x14ac:dyDescent="0.2">
      <c r="A264">
        <v>3689</v>
      </c>
      <c r="B264" t="s">
        <v>1281</v>
      </c>
      <c r="C26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 s="3">
        <v>95832</v>
      </c>
      <c r="W264" t="s">
        <v>127</v>
      </c>
      <c r="X264" t="s">
        <v>83</v>
      </c>
      <c r="Y264" t="s">
        <v>104</v>
      </c>
      <c r="Z264">
        <v>3</v>
      </c>
    </row>
    <row r="265" spans="1:26" x14ac:dyDescent="0.2">
      <c r="A265">
        <v>3690</v>
      </c>
      <c r="B265" t="s">
        <v>1285</v>
      </c>
      <c r="C265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t="s">
        <v>138</v>
      </c>
      <c r="J265" t="s">
        <v>32</v>
      </c>
      <c r="K26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 s="3">
        <v>60287</v>
      </c>
      <c r="W265" t="s">
        <v>42</v>
      </c>
      <c r="X265" t="s">
        <v>74</v>
      </c>
      <c r="Y265" t="s">
        <v>235</v>
      </c>
      <c r="Z265">
        <v>3</v>
      </c>
    </row>
    <row r="266" spans="1:26" x14ac:dyDescent="0.2">
      <c r="A266">
        <v>3691</v>
      </c>
      <c r="B266" t="s">
        <v>764</v>
      </c>
      <c r="C266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 s="3">
        <v>34316</v>
      </c>
      <c r="W266" t="s">
        <v>127</v>
      </c>
      <c r="X266" t="s">
        <v>74</v>
      </c>
      <c r="Y266" t="s">
        <v>235</v>
      </c>
      <c r="Z266">
        <v>1</v>
      </c>
    </row>
    <row r="267" spans="1:26" x14ac:dyDescent="0.2">
      <c r="A267">
        <v>3692</v>
      </c>
      <c r="B267" t="s">
        <v>1292</v>
      </c>
      <c r="C267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 s="3">
        <v>75371</v>
      </c>
      <c r="W267" t="s">
        <v>92</v>
      </c>
      <c r="X267" t="s">
        <v>43</v>
      </c>
      <c r="Y267" t="s">
        <v>235</v>
      </c>
      <c r="Z267">
        <v>3</v>
      </c>
    </row>
    <row r="268" spans="1:26" x14ac:dyDescent="0.2">
      <c r="A268">
        <v>3693</v>
      </c>
      <c r="B268" t="s">
        <v>1296</v>
      </c>
      <c r="C268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t="s">
        <v>132</v>
      </c>
      <c r="J268" t="s">
        <v>32</v>
      </c>
      <c r="K268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 s="3">
        <v>13727</v>
      </c>
      <c r="W268" t="s">
        <v>42</v>
      </c>
      <c r="X268" t="s">
        <v>83</v>
      </c>
      <c r="Y268" t="s">
        <v>104</v>
      </c>
      <c r="Z268">
        <v>2</v>
      </c>
    </row>
    <row r="269" spans="1:26" x14ac:dyDescent="0.2">
      <c r="A269">
        <v>3694</v>
      </c>
      <c r="B269" t="s">
        <v>1301</v>
      </c>
      <c r="C269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t="s">
        <v>49</v>
      </c>
      <c r="J269" t="s">
        <v>744</v>
      </c>
      <c r="K269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 s="3">
        <v>94278</v>
      </c>
      <c r="W269" t="s">
        <v>55</v>
      </c>
      <c r="X269" t="s">
        <v>83</v>
      </c>
      <c r="Y269" t="s">
        <v>739</v>
      </c>
      <c r="Z269">
        <v>4</v>
      </c>
    </row>
    <row r="270" spans="1:26" x14ac:dyDescent="0.2">
      <c r="A270">
        <v>3695</v>
      </c>
      <c r="B270" t="s">
        <v>1306</v>
      </c>
      <c r="C270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t="s">
        <v>138</v>
      </c>
      <c r="J270" t="s">
        <v>744</v>
      </c>
      <c r="K270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 s="3">
        <v>70817</v>
      </c>
      <c r="W270" t="s">
        <v>55</v>
      </c>
      <c r="X270" t="s">
        <v>103</v>
      </c>
      <c r="Y270" t="s">
        <v>739</v>
      </c>
      <c r="Z270">
        <v>4</v>
      </c>
    </row>
    <row r="271" spans="1:26" x14ac:dyDescent="0.2">
      <c r="A271">
        <v>3696</v>
      </c>
      <c r="B271" t="s">
        <v>1311</v>
      </c>
      <c r="C271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t="s">
        <v>79</v>
      </c>
      <c r="J271" t="s">
        <v>744</v>
      </c>
      <c r="K271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 s="3">
        <v>74423</v>
      </c>
      <c r="W271" t="s">
        <v>55</v>
      </c>
      <c r="X271" t="s">
        <v>43</v>
      </c>
      <c r="Y271" t="s">
        <v>739</v>
      </c>
      <c r="Z271">
        <v>3</v>
      </c>
    </row>
    <row r="272" spans="1:26" x14ac:dyDescent="0.2">
      <c r="A272">
        <v>3697</v>
      </c>
      <c r="B272" t="s">
        <v>1316</v>
      </c>
      <c r="C272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 s="3">
        <v>51256</v>
      </c>
      <c r="W272" t="s">
        <v>73</v>
      </c>
      <c r="X272" t="s">
        <v>74</v>
      </c>
      <c r="Y272" t="s">
        <v>739</v>
      </c>
      <c r="Z272">
        <v>4</v>
      </c>
    </row>
    <row r="273" spans="1:26" x14ac:dyDescent="0.2">
      <c r="A273">
        <v>3698</v>
      </c>
      <c r="B273" t="s">
        <v>1320</v>
      </c>
      <c r="C27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t="s">
        <v>97</v>
      </c>
      <c r="J273" t="s">
        <v>32</v>
      </c>
      <c r="K273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 s="3">
        <v>16462</v>
      </c>
      <c r="W273" t="s">
        <v>55</v>
      </c>
      <c r="X273" t="s">
        <v>83</v>
      </c>
      <c r="Y273" t="s">
        <v>739</v>
      </c>
      <c r="Z273">
        <v>3</v>
      </c>
    </row>
    <row r="274" spans="1:26" x14ac:dyDescent="0.2">
      <c r="A274">
        <v>3699</v>
      </c>
      <c r="B274" t="s">
        <v>1325</v>
      </c>
      <c r="C27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t="s">
        <v>167</v>
      </c>
      <c r="J274" t="s">
        <v>744</v>
      </c>
      <c r="K274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 s="3">
        <v>48065</v>
      </c>
      <c r="W274" t="s">
        <v>127</v>
      </c>
      <c r="X274" t="s">
        <v>103</v>
      </c>
      <c r="Y274" t="s">
        <v>739</v>
      </c>
      <c r="Z274">
        <v>2</v>
      </c>
    </row>
    <row r="275" spans="1:26" x14ac:dyDescent="0.2">
      <c r="A275">
        <v>3700</v>
      </c>
      <c r="B275" t="s">
        <v>1330</v>
      </c>
      <c r="C275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 s="3">
        <v>93840</v>
      </c>
      <c r="W275" t="s">
        <v>55</v>
      </c>
      <c r="X275" t="s">
        <v>103</v>
      </c>
      <c r="Y275" t="s">
        <v>739</v>
      </c>
      <c r="Z275">
        <v>1</v>
      </c>
    </row>
    <row r="276" spans="1:26" x14ac:dyDescent="0.2">
      <c r="A276">
        <v>3701</v>
      </c>
      <c r="B276" t="s">
        <v>1334</v>
      </c>
      <c r="C276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 s="3">
        <v>35917</v>
      </c>
      <c r="W276" t="s">
        <v>73</v>
      </c>
      <c r="X276" t="s">
        <v>74</v>
      </c>
      <c r="Y276" t="s">
        <v>739</v>
      </c>
      <c r="Z276">
        <v>2</v>
      </c>
    </row>
    <row r="277" spans="1:26" x14ac:dyDescent="0.2">
      <c r="A277">
        <v>3702</v>
      </c>
      <c r="B277" t="s">
        <v>1338</v>
      </c>
      <c r="C277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 s="3">
        <v>22165</v>
      </c>
      <c r="W277" t="s">
        <v>127</v>
      </c>
      <c r="X277" t="s">
        <v>74</v>
      </c>
      <c r="Y277" t="s">
        <v>104</v>
      </c>
      <c r="Z277">
        <v>3</v>
      </c>
    </row>
    <row r="278" spans="1:26" x14ac:dyDescent="0.2">
      <c r="A278">
        <v>3703</v>
      </c>
      <c r="B278" t="s">
        <v>1342</v>
      </c>
      <c r="C278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 s="3">
        <v>87563</v>
      </c>
      <c r="W278" t="s">
        <v>42</v>
      </c>
      <c r="X278" t="s">
        <v>43</v>
      </c>
      <c r="Y278" t="s">
        <v>104</v>
      </c>
      <c r="Z278">
        <v>4</v>
      </c>
    </row>
    <row r="279" spans="1:26" x14ac:dyDescent="0.2">
      <c r="A279">
        <v>3704</v>
      </c>
      <c r="B279" t="s">
        <v>1342</v>
      </c>
      <c r="C279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t="s">
        <v>31</v>
      </c>
      <c r="J279" t="s">
        <v>32</v>
      </c>
      <c r="K279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 s="3">
        <v>20993</v>
      </c>
      <c r="W279" t="s">
        <v>127</v>
      </c>
      <c r="X279" t="s">
        <v>83</v>
      </c>
      <c r="Y279" t="s">
        <v>104</v>
      </c>
      <c r="Z279">
        <v>5</v>
      </c>
    </row>
    <row r="280" spans="1:26" x14ac:dyDescent="0.2">
      <c r="A280">
        <v>3705</v>
      </c>
      <c r="B280" t="s">
        <v>1351</v>
      </c>
      <c r="C280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t="s">
        <v>88</v>
      </c>
      <c r="J280" t="s">
        <v>32</v>
      </c>
      <c r="K280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 s="3">
        <v>88723</v>
      </c>
      <c r="W280" t="s">
        <v>42</v>
      </c>
      <c r="X280" t="s">
        <v>74</v>
      </c>
      <c r="Y280" t="s">
        <v>104</v>
      </c>
      <c r="Z280">
        <v>3</v>
      </c>
    </row>
    <row r="281" spans="1:26" x14ac:dyDescent="0.2">
      <c r="A281">
        <v>3706</v>
      </c>
      <c r="B281" t="s">
        <v>1356</v>
      </c>
      <c r="C281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 s="3">
        <v>59933</v>
      </c>
      <c r="W281" t="s">
        <v>42</v>
      </c>
      <c r="X281" t="s">
        <v>103</v>
      </c>
      <c r="Y281" t="s">
        <v>104</v>
      </c>
      <c r="Z281">
        <v>3</v>
      </c>
    </row>
    <row r="282" spans="1:26" x14ac:dyDescent="0.2">
      <c r="A282">
        <v>3707</v>
      </c>
      <c r="B282" t="s">
        <v>1360</v>
      </c>
      <c r="C282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 s="3">
        <v>81280</v>
      </c>
      <c r="W282" t="s">
        <v>127</v>
      </c>
      <c r="X282" t="s">
        <v>103</v>
      </c>
      <c r="Y282" t="s">
        <v>104</v>
      </c>
      <c r="Z282">
        <v>3</v>
      </c>
    </row>
    <row r="283" spans="1:26" x14ac:dyDescent="0.2">
      <c r="A283">
        <v>3708</v>
      </c>
      <c r="B283" t="s">
        <v>1364</v>
      </c>
      <c r="C28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t="s">
        <v>132</v>
      </c>
      <c r="J283" t="s">
        <v>32</v>
      </c>
      <c r="K283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 s="3">
        <v>13899</v>
      </c>
      <c r="W283" t="s">
        <v>92</v>
      </c>
      <c r="X283" t="s">
        <v>83</v>
      </c>
      <c r="Y283" t="s">
        <v>104</v>
      </c>
      <c r="Z283">
        <v>4</v>
      </c>
    </row>
    <row r="284" spans="1:26" x14ac:dyDescent="0.2">
      <c r="A284">
        <v>3709</v>
      </c>
      <c r="B284" t="s">
        <v>1368</v>
      </c>
      <c r="C28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t="s">
        <v>167</v>
      </c>
      <c r="J284" t="s">
        <v>32</v>
      </c>
      <c r="K284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 s="3">
        <v>44907</v>
      </c>
      <c r="W284" t="s">
        <v>92</v>
      </c>
      <c r="X284" t="s">
        <v>103</v>
      </c>
      <c r="Y284" t="s">
        <v>104</v>
      </c>
      <c r="Z284">
        <v>5</v>
      </c>
    </row>
    <row r="285" spans="1:26" x14ac:dyDescent="0.2">
      <c r="A285">
        <v>3710</v>
      </c>
      <c r="B285" t="s">
        <v>1373</v>
      </c>
      <c r="C285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 s="3">
        <v>64630</v>
      </c>
      <c r="W285" t="s">
        <v>55</v>
      </c>
      <c r="X285" t="s">
        <v>74</v>
      </c>
      <c r="Y285" t="s">
        <v>104</v>
      </c>
      <c r="Z285">
        <v>1</v>
      </c>
    </row>
    <row r="286" spans="1:26" x14ac:dyDescent="0.2">
      <c r="A286">
        <v>3711</v>
      </c>
      <c r="B286" t="s">
        <v>1377</v>
      </c>
      <c r="C286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 s="3">
        <v>36588</v>
      </c>
      <c r="W286" t="s">
        <v>92</v>
      </c>
      <c r="X286" t="s">
        <v>74</v>
      </c>
      <c r="Y286" t="s">
        <v>235</v>
      </c>
      <c r="Z286">
        <v>1</v>
      </c>
    </row>
    <row r="287" spans="1:26" x14ac:dyDescent="0.2">
      <c r="A287">
        <v>3712</v>
      </c>
      <c r="B287" t="s">
        <v>1380</v>
      </c>
      <c r="C287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t="s">
        <v>138</v>
      </c>
      <c r="J287" t="s">
        <v>197</v>
      </c>
      <c r="K287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 s="3">
        <v>33658</v>
      </c>
      <c r="W287" t="s">
        <v>127</v>
      </c>
      <c r="X287" t="s">
        <v>83</v>
      </c>
      <c r="Y287" t="s">
        <v>235</v>
      </c>
      <c r="Z287">
        <v>5</v>
      </c>
    </row>
    <row r="288" spans="1:26" x14ac:dyDescent="0.2">
      <c r="A288">
        <v>3713</v>
      </c>
      <c r="B288" t="s">
        <v>1385</v>
      </c>
      <c r="C288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 s="3">
        <v>87025</v>
      </c>
      <c r="W288" t="s">
        <v>55</v>
      </c>
      <c r="X288" t="s">
        <v>43</v>
      </c>
      <c r="Y288" t="s">
        <v>44</v>
      </c>
      <c r="Z288">
        <v>3</v>
      </c>
    </row>
    <row r="289" spans="1:26" x14ac:dyDescent="0.2">
      <c r="A289">
        <v>3714</v>
      </c>
      <c r="B289" t="s">
        <v>1389</v>
      </c>
      <c r="C289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 s="3">
        <v>93985</v>
      </c>
      <c r="W289" t="s">
        <v>42</v>
      </c>
      <c r="X289" t="s">
        <v>83</v>
      </c>
      <c r="Y289" t="s">
        <v>44</v>
      </c>
      <c r="Z289">
        <v>4</v>
      </c>
    </row>
    <row r="290" spans="1:26" x14ac:dyDescent="0.2">
      <c r="A290">
        <v>3715</v>
      </c>
      <c r="B290" t="s">
        <v>1393</v>
      </c>
      <c r="C290" t="s">
        <v>42</v>
      </c>
      <c r="D290" s="1">
        <v>44451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 s="3">
        <v>27233</v>
      </c>
      <c r="W290" t="s">
        <v>92</v>
      </c>
      <c r="X290" t="s">
        <v>43</v>
      </c>
      <c r="Y290" t="s">
        <v>44</v>
      </c>
      <c r="Z290">
        <v>4</v>
      </c>
    </row>
    <row r="291" spans="1:26" x14ac:dyDescent="0.2">
      <c r="A291">
        <v>3716</v>
      </c>
      <c r="B291" t="s">
        <v>323</v>
      </c>
      <c r="C291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t="s">
        <v>132</v>
      </c>
      <c r="J291" t="s">
        <v>744</v>
      </c>
      <c r="K291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 s="3">
        <v>5569</v>
      </c>
      <c r="W291" t="s">
        <v>92</v>
      </c>
      <c r="X291" t="s">
        <v>83</v>
      </c>
      <c r="Y291" t="s">
        <v>44</v>
      </c>
      <c r="Z291">
        <v>1</v>
      </c>
    </row>
    <row r="292" spans="1:26" x14ac:dyDescent="0.2">
      <c r="A292">
        <v>3717</v>
      </c>
      <c r="B292" t="s">
        <v>1400</v>
      </c>
      <c r="C292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 s="3">
        <v>21090</v>
      </c>
      <c r="W292" t="s">
        <v>127</v>
      </c>
      <c r="X292" t="s">
        <v>83</v>
      </c>
      <c r="Y292" t="s">
        <v>44</v>
      </c>
      <c r="Z292">
        <v>2</v>
      </c>
    </row>
    <row r="293" spans="1:26" x14ac:dyDescent="0.2">
      <c r="A293">
        <v>3718</v>
      </c>
      <c r="B293" t="s">
        <v>189</v>
      </c>
      <c r="C29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t="s">
        <v>138</v>
      </c>
      <c r="J293" t="s">
        <v>744</v>
      </c>
      <c r="K293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 s="3">
        <v>52357</v>
      </c>
      <c r="W293" t="s">
        <v>73</v>
      </c>
      <c r="X293" t="s">
        <v>83</v>
      </c>
      <c r="Y293" t="s">
        <v>44</v>
      </c>
      <c r="Z293">
        <v>4</v>
      </c>
    </row>
    <row r="294" spans="1:26" x14ac:dyDescent="0.2">
      <c r="A294">
        <v>3719</v>
      </c>
      <c r="B294" t="s">
        <v>1408</v>
      </c>
      <c r="C29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 s="3">
        <v>47989</v>
      </c>
      <c r="W294" t="s">
        <v>55</v>
      </c>
      <c r="X294" t="s">
        <v>103</v>
      </c>
      <c r="Y294" t="s">
        <v>44</v>
      </c>
      <c r="Z294">
        <v>3</v>
      </c>
    </row>
    <row r="295" spans="1:26" x14ac:dyDescent="0.2">
      <c r="A295">
        <v>3720</v>
      </c>
      <c r="B295" t="s">
        <v>1411</v>
      </c>
      <c r="C295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t="s">
        <v>167</v>
      </c>
      <c r="J295" t="s">
        <v>32</v>
      </c>
      <c r="K29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 s="3">
        <v>31486</v>
      </c>
      <c r="W295" t="s">
        <v>42</v>
      </c>
      <c r="X295" t="s">
        <v>74</v>
      </c>
      <c r="Y295" t="s">
        <v>44</v>
      </c>
      <c r="Z295">
        <v>3</v>
      </c>
    </row>
    <row r="296" spans="1:26" x14ac:dyDescent="0.2">
      <c r="A296">
        <v>3721</v>
      </c>
      <c r="B296" t="s">
        <v>1416</v>
      </c>
      <c r="C296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t="s">
        <v>117</v>
      </c>
      <c r="J296" t="s">
        <v>32</v>
      </c>
      <c r="K29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 s="3">
        <v>24794</v>
      </c>
      <c r="W296" t="s">
        <v>92</v>
      </c>
      <c r="X296" t="s">
        <v>43</v>
      </c>
      <c r="Y296" t="s">
        <v>44</v>
      </c>
      <c r="Z296">
        <v>2</v>
      </c>
    </row>
    <row r="297" spans="1:26" x14ac:dyDescent="0.2">
      <c r="A297">
        <v>3722</v>
      </c>
      <c r="B297" t="s">
        <v>1421</v>
      </c>
      <c r="C297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t="s">
        <v>61</v>
      </c>
      <c r="J297" t="s">
        <v>744</v>
      </c>
      <c r="K297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 s="3">
        <v>80316</v>
      </c>
      <c r="W297" t="s">
        <v>42</v>
      </c>
      <c r="X297" t="s">
        <v>83</v>
      </c>
      <c r="Y297" t="s">
        <v>44</v>
      </c>
      <c r="Z297">
        <v>2</v>
      </c>
    </row>
    <row r="298" spans="1:26" x14ac:dyDescent="0.2">
      <c r="A298">
        <v>3723</v>
      </c>
      <c r="B298" t="s">
        <v>1426</v>
      </c>
      <c r="C298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t="s">
        <v>88</v>
      </c>
      <c r="J298" t="s">
        <v>744</v>
      </c>
      <c r="K298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 s="3">
        <v>46742</v>
      </c>
      <c r="W298" t="s">
        <v>127</v>
      </c>
      <c r="X298" t="s">
        <v>83</v>
      </c>
      <c r="Y298" t="s">
        <v>44</v>
      </c>
      <c r="Z298">
        <v>3</v>
      </c>
    </row>
    <row r="299" spans="1:26" x14ac:dyDescent="0.2">
      <c r="A299">
        <v>3724</v>
      </c>
      <c r="B299" t="s">
        <v>1431</v>
      </c>
      <c r="C299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t="s">
        <v>31</v>
      </c>
      <c r="J299" t="s">
        <v>744</v>
      </c>
      <c r="K299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 s="3">
        <v>30194</v>
      </c>
      <c r="W299" t="s">
        <v>127</v>
      </c>
      <c r="X299" t="s">
        <v>103</v>
      </c>
      <c r="Y299" t="s">
        <v>44</v>
      </c>
      <c r="Z299">
        <v>4</v>
      </c>
    </row>
    <row r="300" spans="1:26" x14ac:dyDescent="0.2">
      <c r="A300">
        <v>3725</v>
      </c>
      <c r="B300" t="s">
        <v>1436</v>
      </c>
      <c r="C300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t="s">
        <v>132</v>
      </c>
      <c r="J300" t="s">
        <v>32</v>
      </c>
      <c r="K300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 s="3">
        <v>36808</v>
      </c>
      <c r="W300" t="s">
        <v>127</v>
      </c>
      <c r="X300" t="s">
        <v>43</v>
      </c>
      <c r="Y300" t="s">
        <v>44</v>
      </c>
      <c r="Z300">
        <v>1</v>
      </c>
    </row>
    <row r="301" spans="1:26" x14ac:dyDescent="0.2">
      <c r="A301">
        <v>3726</v>
      </c>
      <c r="B301" t="s">
        <v>1441</v>
      </c>
      <c r="C301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t="s">
        <v>49</v>
      </c>
      <c r="J301" t="s">
        <v>32</v>
      </c>
      <c r="K301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 s="3">
        <v>36688</v>
      </c>
      <c r="W301" t="s">
        <v>73</v>
      </c>
      <c r="X301" t="s">
        <v>83</v>
      </c>
      <c r="Y301" t="s">
        <v>44</v>
      </c>
      <c r="Z301">
        <v>4</v>
      </c>
    </row>
    <row r="302" spans="1:26" x14ac:dyDescent="0.2">
      <c r="A302">
        <v>3727</v>
      </c>
      <c r="B302" t="s">
        <v>1446</v>
      </c>
      <c r="C302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 s="3">
        <v>37883</v>
      </c>
      <c r="W302" t="s">
        <v>73</v>
      </c>
      <c r="X302" t="s">
        <v>103</v>
      </c>
      <c r="Y302" t="s">
        <v>44</v>
      </c>
      <c r="Z302">
        <v>3</v>
      </c>
    </row>
    <row r="303" spans="1:26" x14ac:dyDescent="0.2">
      <c r="A303">
        <v>3728</v>
      </c>
      <c r="B303" t="s">
        <v>1450</v>
      </c>
      <c r="C30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 s="3">
        <v>39843</v>
      </c>
      <c r="W303" t="s">
        <v>55</v>
      </c>
      <c r="X303" t="s">
        <v>103</v>
      </c>
      <c r="Y303" t="s">
        <v>44</v>
      </c>
      <c r="Z303">
        <v>5</v>
      </c>
    </row>
    <row r="304" spans="1:26" x14ac:dyDescent="0.2">
      <c r="A304">
        <v>3729</v>
      </c>
      <c r="B304" t="s">
        <v>1454</v>
      </c>
      <c r="C30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t="s">
        <v>88</v>
      </c>
      <c r="J304" t="s">
        <v>32</v>
      </c>
      <c r="K304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 s="3">
        <v>69873</v>
      </c>
      <c r="W304" t="s">
        <v>73</v>
      </c>
      <c r="X304" t="s">
        <v>103</v>
      </c>
      <c r="Y304" t="s">
        <v>44</v>
      </c>
      <c r="Z304">
        <v>3</v>
      </c>
    </row>
    <row r="305" spans="1:26" x14ac:dyDescent="0.2">
      <c r="A305">
        <v>3730</v>
      </c>
      <c r="B305" t="s">
        <v>178</v>
      </c>
      <c r="C305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 s="3">
        <v>2548</v>
      </c>
      <c r="W305" t="s">
        <v>92</v>
      </c>
      <c r="X305" t="s">
        <v>43</v>
      </c>
      <c r="Y305" t="s">
        <v>44</v>
      </c>
      <c r="Z305">
        <v>4</v>
      </c>
    </row>
    <row r="306" spans="1:26" x14ac:dyDescent="0.2">
      <c r="A306">
        <v>3731</v>
      </c>
      <c r="B306" t="s">
        <v>1461</v>
      </c>
      <c r="C306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t="s">
        <v>49</v>
      </c>
      <c r="J306" t="s">
        <v>32</v>
      </c>
      <c r="K30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 s="3">
        <v>73555</v>
      </c>
      <c r="W306" t="s">
        <v>55</v>
      </c>
      <c r="X306" t="s">
        <v>74</v>
      </c>
      <c r="Y306" t="s">
        <v>44</v>
      </c>
      <c r="Z306">
        <v>3</v>
      </c>
    </row>
    <row r="307" spans="1:26" x14ac:dyDescent="0.2">
      <c r="A307">
        <v>3732</v>
      </c>
      <c r="B307" t="s">
        <v>1466</v>
      </c>
      <c r="C307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 s="3">
        <v>27650</v>
      </c>
      <c r="W307" t="s">
        <v>92</v>
      </c>
      <c r="X307" t="s">
        <v>43</v>
      </c>
      <c r="Y307" t="s">
        <v>44</v>
      </c>
      <c r="Z307">
        <v>5</v>
      </c>
    </row>
    <row r="308" spans="1:26" x14ac:dyDescent="0.2">
      <c r="A308">
        <v>3733</v>
      </c>
      <c r="B308" t="s">
        <v>1470</v>
      </c>
      <c r="C308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t="s">
        <v>117</v>
      </c>
      <c r="J308" t="s">
        <v>197</v>
      </c>
      <c r="K308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 s="3">
        <v>2035</v>
      </c>
      <c r="W308" t="s">
        <v>55</v>
      </c>
      <c r="X308" t="s">
        <v>74</v>
      </c>
      <c r="Y308" t="s">
        <v>44</v>
      </c>
      <c r="Z308">
        <v>3</v>
      </c>
    </row>
    <row r="309" spans="1:26" x14ac:dyDescent="0.2">
      <c r="A309">
        <v>3734</v>
      </c>
      <c r="B309" t="s">
        <v>1475</v>
      </c>
      <c r="C309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 s="3">
        <v>74284</v>
      </c>
      <c r="W309" t="s">
        <v>42</v>
      </c>
      <c r="X309" t="s">
        <v>103</v>
      </c>
      <c r="Y309" t="s">
        <v>44</v>
      </c>
      <c r="Z309">
        <v>3</v>
      </c>
    </row>
    <row r="310" spans="1:26" x14ac:dyDescent="0.2">
      <c r="A310">
        <v>3735</v>
      </c>
      <c r="B310" t="s">
        <v>764</v>
      </c>
      <c r="C310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 s="3">
        <v>81455</v>
      </c>
      <c r="W310" t="s">
        <v>42</v>
      </c>
      <c r="X310" t="s">
        <v>83</v>
      </c>
      <c r="Y310" t="s">
        <v>44</v>
      </c>
      <c r="Z310">
        <v>1</v>
      </c>
    </row>
    <row r="311" spans="1:26" x14ac:dyDescent="0.2">
      <c r="A311">
        <v>3736</v>
      </c>
      <c r="B311" t="s">
        <v>1481</v>
      </c>
      <c r="C311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t="s">
        <v>132</v>
      </c>
      <c r="J311" t="s">
        <v>32</v>
      </c>
      <c r="K311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 s="3">
        <v>95345</v>
      </c>
      <c r="W311" t="s">
        <v>73</v>
      </c>
      <c r="X311" t="s">
        <v>83</v>
      </c>
      <c r="Y311" t="s">
        <v>44</v>
      </c>
      <c r="Z311">
        <v>2</v>
      </c>
    </row>
    <row r="312" spans="1:26" x14ac:dyDescent="0.2">
      <c r="A312">
        <v>3737</v>
      </c>
      <c r="B312" t="s">
        <v>1486</v>
      </c>
      <c r="C312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 s="3">
        <v>67176</v>
      </c>
      <c r="W312" t="s">
        <v>55</v>
      </c>
      <c r="X312" t="s">
        <v>103</v>
      </c>
      <c r="Y312" t="s">
        <v>44</v>
      </c>
      <c r="Z312">
        <v>5</v>
      </c>
    </row>
    <row r="313" spans="1:26" x14ac:dyDescent="0.2">
      <c r="A313">
        <v>3738</v>
      </c>
      <c r="B313" t="s">
        <v>1490</v>
      </c>
      <c r="C31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t="s">
        <v>132</v>
      </c>
      <c r="J313" t="s">
        <v>744</v>
      </c>
      <c r="K313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 s="3">
        <v>21015</v>
      </c>
      <c r="W313" t="s">
        <v>55</v>
      </c>
      <c r="X313" t="s">
        <v>43</v>
      </c>
      <c r="Y313" t="s">
        <v>44</v>
      </c>
      <c r="Z313">
        <v>3</v>
      </c>
    </row>
    <row r="314" spans="1:26" x14ac:dyDescent="0.2">
      <c r="A314">
        <v>3739</v>
      </c>
      <c r="B314" t="s">
        <v>1495</v>
      </c>
      <c r="C31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t="s">
        <v>49</v>
      </c>
      <c r="J314" t="s">
        <v>744</v>
      </c>
      <c r="K314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 s="3">
        <v>80870</v>
      </c>
      <c r="W314" t="s">
        <v>127</v>
      </c>
      <c r="X314" t="s">
        <v>103</v>
      </c>
      <c r="Y314" t="s">
        <v>44</v>
      </c>
      <c r="Z314">
        <v>3</v>
      </c>
    </row>
    <row r="315" spans="1:26" x14ac:dyDescent="0.2">
      <c r="A315">
        <v>3740</v>
      </c>
      <c r="B315" t="s">
        <v>1500</v>
      </c>
      <c r="C315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t="s">
        <v>138</v>
      </c>
      <c r="J315" t="s">
        <v>744</v>
      </c>
      <c r="K31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 s="3">
        <v>12265</v>
      </c>
      <c r="W315" t="s">
        <v>73</v>
      </c>
      <c r="X315" t="s">
        <v>74</v>
      </c>
      <c r="Y315" t="s">
        <v>44</v>
      </c>
      <c r="Z315">
        <v>4</v>
      </c>
    </row>
    <row r="316" spans="1:26" x14ac:dyDescent="0.2">
      <c r="A316">
        <v>3741</v>
      </c>
      <c r="B316" t="s">
        <v>1506</v>
      </c>
      <c r="C316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t="s">
        <v>79</v>
      </c>
      <c r="J316" t="s">
        <v>744</v>
      </c>
      <c r="K31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 s="3">
        <v>47025</v>
      </c>
      <c r="W316" t="s">
        <v>55</v>
      </c>
      <c r="X316" t="s">
        <v>43</v>
      </c>
      <c r="Y316" t="s">
        <v>44</v>
      </c>
      <c r="Z316">
        <v>1</v>
      </c>
    </row>
    <row r="317" spans="1:26" x14ac:dyDescent="0.2">
      <c r="A317">
        <v>3742</v>
      </c>
      <c r="B317" t="s">
        <v>1012</v>
      </c>
      <c r="C317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t="s">
        <v>167</v>
      </c>
      <c r="J317" t="s">
        <v>32</v>
      </c>
      <c r="K317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 s="3">
        <v>81011</v>
      </c>
      <c r="W317" t="s">
        <v>127</v>
      </c>
      <c r="X317" t="s">
        <v>83</v>
      </c>
      <c r="Y317" t="s">
        <v>44</v>
      </c>
      <c r="Z317">
        <v>2</v>
      </c>
    </row>
    <row r="318" spans="1:26" x14ac:dyDescent="0.2">
      <c r="A318">
        <v>3743</v>
      </c>
      <c r="B318" t="s">
        <v>1515</v>
      </c>
      <c r="C318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 s="3">
        <v>13394</v>
      </c>
      <c r="W318" t="s">
        <v>92</v>
      </c>
      <c r="X318" t="s">
        <v>83</v>
      </c>
      <c r="Y318" t="s">
        <v>44</v>
      </c>
      <c r="Z318">
        <v>2</v>
      </c>
    </row>
    <row r="319" spans="1:26" x14ac:dyDescent="0.2">
      <c r="A319">
        <v>3744</v>
      </c>
      <c r="B319" t="s">
        <v>1519</v>
      </c>
      <c r="C319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 s="3">
        <v>50967</v>
      </c>
      <c r="W319" t="s">
        <v>127</v>
      </c>
      <c r="X319" t="s">
        <v>43</v>
      </c>
      <c r="Y319" t="s">
        <v>44</v>
      </c>
      <c r="Z319">
        <v>5</v>
      </c>
    </row>
    <row r="320" spans="1:26" x14ac:dyDescent="0.2">
      <c r="A320">
        <v>3745</v>
      </c>
      <c r="B320" t="s">
        <v>1523</v>
      </c>
      <c r="C320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t="s">
        <v>61</v>
      </c>
      <c r="J320" t="s">
        <v>744</v>
      </c>
      <c r="K320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 s="3">
        <v>8286</v>
      </c>
      <c r="W320" t="s">
        <v>127</v>
      </c>
      <c r="X320" t="s">
        <v>74</v>
      </c>
      <c r="Y320" t="s">
        <v>44</v>
      </c>
      <c r="Z320">
        <v>4</v>
      </c>
    </row>
    <row r="321" spans="1:26" x14ac:dyDescent="0.2">
      <c r="A321">
        <v>3746</v>
      </c>
      <c r="B321" t="s">
        <v>963</v>
      </c>
      <c r="C321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 s="3">
        <v>68039</v>
      </c>
      <c r="W321" t="s">
        <v>92</v>
      </c>
      <c r="X321" t="s">
        <v>43</v>
      </c>
      <c r="Y321" t="s">
        <v>44</v>
      </c>
      <c r="Z321">
        <v>3</v>
      </c>
    </row>
    <row r="322" spans="1:26" x14ac:dyDescent="0.2">
      <c r="A322">
        <v>3747</v>
      </c>
      <c r="B322" t="s">
        <v>1012</v>
      </c>
      <c r="C322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t="s">
        <v>31</v>
      </c>
      <c r="J322" t="s">
        <v>744</v>
      </c>
      <c r="K322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 s="3">
        <v>56563</v>
      </c>
      <c r="W322" t="s">
        <v>92</v>
      </c>
      <c r="X322" t="s">
        <v>43</v>
      </c>
      <c r="Y322" t="s">
        <v>44</v>
      </c>
      <c r="Z322">
        <v>2</v>
      </c>
    </row>
    <row r="323" spans="1:26" x14ac:dyDescent="0.2">
      <c r="A323">
        <v>3748</v>
      </c>
      <c r="B323" t="s">
        <v>1155</v>
      </c>
      <c r="C32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 s="3">
        <v>96739</v>
      </c>
      <c r="W323" t="s">
        <v>73</v>
      </c>
      <c r="X323" t="s">
        <v>83</v>
      </c>
      <c r="Y323" t="s">
        <v>44</v>
      </c>
      <c r="Z323">
        <v>1</v>
      </c>
    </row>
    <row r="324" spans="1:26" x14ac:dyDescent="0.2">
      <c r="A324">
        <v>3749</v>
      </c>
      <c r="B324" t="s">
        <v>275</v>
      </c>
      <c r="C32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 s="3">
        <v>27488</v>
      </c>
      <c r="W324" t="s">
        <v>73</v>
      </c>
      <c r="X324" t="s">
        <v>83</v>
      </c>
      <c r="Y324" t="s">
        <v>44</v>
      </c>
      <c r="Z324">
        <v>4</v>
      </c>
    </row>
    <row r="325" spans="1:26" x14ac:dyDescent="0.2">
      <c r="A325">
        <v>3750</v>
      </c>
      <c r="B325" t="s">
        <v>1541</v>
      </c>
      <c r="C325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 s="3">
        <v>49299</v>
      </c>
      <c r="W325" t="s">
        <v>92</v>
      </c>
      <c r="X325" t="s">
        <v>74</v>
      </c>
      <c r="Y325" t="s">
        <v>44</v>
      </c>
      <c r="Z325">
        <v>1</v>
      </c>
    </row>
    <row r="326" spans="1:26" x14ac:dyDescent="0.2">
      <c r="A326">
        <v>3751</v>
      </c>
      <c r="B326" t="s">
        <v>1545</v>
      </c>
      <c r="C326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 s="3">
        <v>32547</v>
      </c>
      <c r="W326" t="s">
        <v>73</v>
      </c>
      <c r="X326" t="s">
        <v>74</v>
      </c>
      <c r="Y326" t="s">
        <v>44</v>
      </c>
      <c r="Z326">
        <v>3</v>
      </c>
    </row>
    <row r="327" spans="1:26" x14ac:dyDescent="0.2">
      <c r="A327">
        <v>3752</v>
      </c>
      <c r="B327" t="s">
        <v>1548</v>
      </c>
      <c r="C327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 s="3">
        <v>11664</v>
      </c>
      <c r="W327" t="s">
        <v>42</v>
      </c>
      <c r="X327" t="s">
        <v>103</v>
      </c>
      <c r="Y327" t="s">
        <v>44</v>
      </c>
      <c r="Z327">
        <v>2</v>
      </c>
    </row>
    <row r="328" spans="1:26" x14ac:dyDescent="0.2">
      <c r="A328">
        <v>3753</v>
      </c>
      <c r="B328" t="s">
        <v>794</v>
      </c>
      <c r="C328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t="s">
        <v>97</v>
      </c>
      <c r="J328" t="s">
        <v>32</v>
      </c>
      <c r="K328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 s="3">
        <v>37926</v>
      </c>
      <c r="W328" t="s">
        <v>42</v>
      </c>
      <c r="X328" t="s">
        <v>74</v>
      </c>
      <c r="Y328" t="s">
        <v>44</v>
      </c>
      <c r="Z328">
        <v>4</v>
      </c>
    </row>
    <row r="329" spans="1:26" x14ac:dyDescent="0.2">
      <c r="A329">
        <v>3754</v>
      </c>
      <c r="B329" t="s">
        <v>1486</v>
      </c>
      <c r="C329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t="s">
        <v>117</v>
      </c>
      <c r="J329" t="s">
        <v>32</v>
      </c>
      <c r="K329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 s="3">
        <v>76770</v>
      </c>
      <c r="W329" t="s">
        <v>92</v>
      </c>
      <c r="X329" t="s">
        <v>83</v>
      </c>
      <c r="Y329" t="s">
        <v>44</v>
      </c>
      <c r="Z329">
        <v>1</v>
      </c>
    </row>
    <row r="330" spans="1:26" x14ac:dyDescent="0.2">
      <c r="A330">
        <v>3755</v>
      </c>
      <c r="B330" t="s">
        <v>1559</v>
      </c>
      <c r="C330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t="s">
        <v>61</v>
      </c>
      <c r="J330" t="s">
        <v>197</v>
      </c>
      <c r="K330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 s="3">
        <v>72484</v>
      </c>
      <c r="W330" t="s">
        <v>92</v>
      </c>
      <c r="X330" t="s">
        <v>83</v>
      </c>
      <c r="Y330" t="s">
        <v>44</v>
      </c>
      <c r="Z330">
        <v>4</v>
      </c>
    </row>
    <row r="331" spans="1:26" x14ac:dyDescent="0.2">
      <c r="A331">
        <v>3756</v>
      </c>
      <c r="B331" t="s">
        <v>1564</v>
      </c>
      <c r="C331" t="s">
        <v>27</v>
      </c>
      <c r="D331" s="1">
        <v>44340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 s="3">
        <v>13669</v>
      </c>
      <c r="W331" t="s">
        <v>55</v>
      </c>
      <c r="X331" t="s">
        <v>83</v>
      </c>
      <c r="Y331" t="s">
        <v>44</v>
      </c>
      <c r="Z331">
        <v>3</v>
      </c>
    </row>
    <row r="332" spans="1:26" x14ac:dyDescent="0.2">
      <c r="A332">
        <v>3757</v>
      </c>
      <c r="B332" t="s">
        <v>1567</v>
      </c>
      <c r="C332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t="s">
        <v>31</v>
      </c>
      <c r="J332" t="s">
        <v>197</v>
      </c>
      <c r="K332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 s="3">
        <v>7481</v>
      </c>
      <c r="W332" t="s">
        <v>127</v>
      </c>
      <c r="X332" t="s">
        <v>74</v>
      </c>
      <c r="Y332" t="s">
        <v>44</v>
      </c>
      <c r="Z332">
        <v>2</v>
      </c>
    </row>
    <row r="333" spans="1:26" x14ac:dyDescent="0.2">
      <c r="A333">
        <v>3758</v>
      </c>
      <c r="B333" t="s">
        <v>1572</v>
      </c>
      <c r="C33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t="s">
        <v>132</v>
      </c>
      <c r="J333" t="s">
        <v>744</v>
      </c>
      <c r="K333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 s="3">
        <v>76897</v>
      </c>
      <c r="W333" t="s">
        <v>73</v>
      </c>
      <c r="X333" t="s">
        <v>103</v>
      </c>
      <c r="Y333" t="s">
        <v>44</v>
      </c>
      <c r="Z333">
        <v>3</v>
      </c>
    </row>
    <row r="334" spans="1:26" x14ac:dyDescent="0.2">
      <c r="A334">
        <v>3759</v>
      </c>
      <c r="B334" t="s">
        <v>1577</v>
      </c>
      <c r="C33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t="s">
        <v>49</v>
      </c>
      <c r="J334" t="s">
        <v>32</v>
      </c>
      <c r="K334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 s="3">
        <v>47326</v>
      </c>
      <c r="W334" t="s">
        <v>92</v>
      </c>
      <c r="X334" t="s">
        <v>83</v>
      </c>
      <c r="Y334" t="s">
        <v>44</v>
      </c>
      <c r="Z334">
        <v>1</v>
      </c>
    </row>
    <row r="335" spans="1:26" x14ac:dyDescent="0.2">
      <c r="A335">
        <v>3760</v>
      </c>
      <c r="B335" t="s">
        <v>668</v>
      </c>
      <c r="C335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 s="3">
        <v>20814</v>
      </c>
      <c r="W335" t="s">
        <v>73</v>
      </c>
      <c r="X335" t="s">
        <v>43</v>
      </c>
      <c r="Y335" t="s">
        <v>44</v>
      </c>
      <c r="Z335">
        <v>3</v>
      </c>
    </row>
    <row r="336" spans="1:26" x14ac:dyDescent="0.2">
      <c r="A336">
        <v>3761</v>
      </c>
      <c r="B336" t="s">
        <v>1584</v>
      </c>
      <c r="C336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t="s">
        <v>31</v>
      </c>
      <c r="J336" t="s">
        <v>32</v>
      </c>
      <c r="K33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 s="3">
        <v>75880</v>
      </c>
      <c r="W336" t="s">
        <v>92</v>
      </c>
      <c r="X336" t="s">
        <v>83</v>
      </c>
      <c r="Y336" t="s">
        <v>44</v>
      </c>
      <c r="Z336">
        <v>1</v>
      </c>
    </row>
    <row r="337" spans="1:26" x14ac:dyDescent="0.2">
      <c r="A337">
        <v>3762</v>
      </c>
      <c r="B337" t="s">
        <v>1589</v>
      </c>
      <c r="C337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 s="3">
        <v>65366</v>
      </c>
      <c r="W337" t="s">
        <v>92</v>
      </c>
      <c r="X337" t="s">
        <v>103</v>
      </c>
      <c r="Y337" t="s">
        <v>44</v>
      </c>
      <c r="Z337">
        <v>2</v>
      </c>
    </row>
    <row r="338" spans="1:26" x14ac:dyDescent="0.2">
      <c r="A338">
        <v>3763</v>
      </c>
      <c r="B338" t="s">
        <v>1593</v>
      </c>
      <c r="C338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t="s">
        <v>49</v>
      </c>
      <c r="J338" t="s">
        <v>744</v>
      </c>
      <c r="K338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 s="3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">
      <c r="A339">
        <v>3764</v>
      </c>
      <c r="B339" t="s">
        <v>367</v>
      </c>
      <c r="C339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 s="3">
        <v>41487</v>
      </c>
      <c r="W339" t="s">
        <v>92</v>
      </c>
      <c r="X339" t="s">
        <v>74</v>
      </c>
      <c r="Y339" t="s">
        <v>44</v>
      </c>
      <c r="Z339">
        <v>3</v>
      </c>
    </row>
    <row r="340" spans="1:26" x14ac:dyDescent="0.2">
      <c r="A340">
        <v>3765</v>
      </c>
      <c r="B340" t="s">
        <v>1601</v>
      </c>
      <c r="C340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 s="3">
        <v>36904</v>
      </c>
      <c r="W340" t="s">
        <v>55</v>
      </c>
      <c r="X340" t="s">
        <v>43</v>
      </c>
      <c r="Y340" t="s">
        <v>44</v>
      </c>
      <c r="Z340">
        <v>3</v>
      </c>
    </row>
    <row r="341" spans="1:26" x14ac:dyDescent="0.2">
      <c r="A341">
        <v>3766</v>
      </c>
      <c r="B341" t="s">
        <v>1605</v>
      </c>
      <c r="C341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t="s">
        <v>167</v>
      </c>
      <c r="J341" t="s">
        <v>32</v>
      </c>
      <c r="K341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 s="3">
        <v>10110</v>
      </c>
      <c r="W341" t="s">
        <v>92</v>
      </c>
      <c r="X341" t="s">
        <v>43</v>
      </c>
      <c r="Y341" t="s">
        <v>44</v>
      </c>
      <c r="Z341">
        <v>3</v>
      </c>
    </row>
    <row r="342" spans="1:26" x14ac:dyDescent="0.2">
      <c r="A342">
        <v>3767</v>
      </c>
      <c r="B342" t="s">
        <v>1077</v>
      </c>
      <c r="C342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t="s">
        <v>79</v>
      </c>
      <c r="J342" t="s">
        <v>744</v>
      </c>
      <c r="K342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 s="3">
        <v>46087</v>
      </c>
      <c r="W342" t="s">
        <v>92</v>
      </c>
      <c r="X342" t="s">
        <v>103</v>
      </c>
      <c r="Y342" t="s">
        <v>44</v>
      </c>
      <c r="Z342">
        <v>2</v>
      </c>
    </row>
    <row r="343" spans="1:26" x14ac:dyDescent="0.2">
      <c r="A343">
        <v>3768</v>
      </c>
      <c r="B343" t="s">
        <v>1614</v>
      </c>
      <c r="C34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 s="3">
        <v>37838</v>
      </c>
      <c r="W343" t="s">
        <v>92</v>
      </c>
      <c r="X343" t="s">
        <v>103</v>
      </c>
      <c r="Y343" t="s">
        <v>44</v>
      </c>
      <c r="Z343">
        <v>4</v>
      </c>
    </row>
    <row r="344" spans="1:26" x14ac:dyDescent="0.2">
      <c r="A344">
        <v>3769</v>
      </c>
      <c r="B344" t="s">
        <v>477</v>
      </c>
      <c r="C34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 s="3">
        <v>15968</v>
      </c>
      <c r="W344" t="s">
        <v>127</v>
      </c>
      <c r="X344" t="s">
        <v>83</v>
      </c>
      <c r="Y344" t="s">
        <v>44</v>
      </c>
      <c r="Z344">
        <v>3</v>
      </c>
    </row>
    <row r="345" spans="1:26" x14ac:dyDescent="0.2">
      <c r="A345">
        <v>3770</v>
      </c>
      <c r="B345" t="s">
        <v>1621</v>
      </c>
      <c r="C345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t="s">
        <v>61</v>
      </c>
      <c r="J345" t="s">
        <v>744</v>
      </c>
      <c r="K34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 s="3">
        <v>21100</v>
      </c>
      <c r="W345" t="s">
        <v>127</v>
      </c>
      <c r="X345" t="s">
        <v>83</v>
      </c>
      <c r="Y345" t="s">
        <v>44</v>
      </c>
      <c r="Z345">
        <v>3</v>
      </c>
    </row>
    <row r="346" spans="1:26" x14ac:dyDescent="0.2">
      <c r="A346">
        <v>3771</v>
      </c>
      <c r="B346" t="s">
        <v>773</v>
      </c>
      <c r="C346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t="s">
        <v>117</v>
      </c>
      <c r="J346" t="s">
        <v>744</v>
      </c>
      <c r="K34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 s="3">
        <v>65845</v>
      </c>
      <c r="W346" t="s">
        <v>127</v>
      </c>
      <c r="X346" t="s">
        <v>83</v>
      </c>
      <c r="Y346" t="s">
        <v>44</v>
      </c>
      <c r="Z346">
        <v>3</v>
      </c>
    </row>
    <row r="347" spans="1:26" x14ac:dyDescent="0.2">
      <c r="A347">
        <v>3772</v>
      </c>
      <c r="B347" t="s">
        <v>1630</v>
      </c>
      <c r="C347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t="s">
        <v>138</v>
      </c>
      <c r="J347" t="s">
        <v>32</v>
      </c>
      <c r="K347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 s="3">
        <v>58535</v>
      </c>
      <c r="W347" t="s">
        <v>127</v>
      </c>
      <c r="X347" t="s">
        <v>103</v>
      </c>
      <c r="Y347" t="s">
        <v>44</v>
      </c>
      <c r="Z347">
        <v>3</v>
      </c>
    </row>
    <row r="348" spans="1:26" x14ac:dyDescent="0.2">
      <c r="A348">
        <v>3773</v>
      </c>
      <c r="B348" t="s">
        <v>1635</v>
      </c>
      <c r="C348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t="s">
        <v>49</v>
      </c>
      <c r="J348" t="s">
        <v>744</v>
      </c>
      <c r="K348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 s="3">
        <v>3994</v>
      </c>
      <c r="W348" t="s">
        <v>55</v>
      </c>
      <c r="X348" t="s">
        <v>103</v>
      </c>
      <c r="Y348" t="s">
        <v>44</v>
      </c>
      <c r="Z348">
        <v>3</v>
      </c>
    </row>
    <row r="349" spans="1:26" x14ac:dyDescent="0.2">
      <c r="A349">
        <v>3774</v>
      </c>
      <c r="B349" t="s">
        <v>1639</v>
      </c>
      <c r="C349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t="s">
        <v>31</v>
      </c>
      <c r="J349" t="s">
        <v>32</v>
      </c>
      <c r="K349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 s="3">
        <v>32544</v>
      </c>
      <c r="W349" t="s">
        <v>92</v>
      </c>
      <c r="X349" t="s">
        <v>74</v>
      </c>
      <c r="Y349" t="s">
        <v>44</v>
      </c>
      <c r="Z349">
        <v>3</v>
      </c>
    </row>
    <row r="350" spans="1:26" x14ac:dyDescent="0.2">
      <c r="A350">
        <v>3775</v>
      </c>
      <c r="B350" t="s">
        <v>1644</v>
      </c>
      <c r="C350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t="s">
        <v>88</v>
      </c>
      <c r="J350" t="s">
        <v>32</v>
      </c>
      <c r="K350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 s="3">
        <v>36153</v>
      </c>
      <c r="W350" t="s">
        <v>73</v>
      </c>
      <c r="X350" t="s">
        <v>43</v>
      </c>
      <c r="Y350" t="s">
        <v>44</v>
      </c>
      <c r="Z350">
        <v>3</v>
      </c>
    </row>
    <row r="351" spans="1:26" x14ac:dyDescent="0.2">
      <c r="A351">
        <v>3776</v>
      </c>
      <c r="B351" t="s">
        <v>1648</v>
      </c>
      <c r="C351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t="s">
        <v>97</v>
      </c>
      <c r="J351" t="s">
        <v>32</v>
      </c>
      <c r="K351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 s="3">
        <v>34262</v>
      </c>
      <c r="W351" t="s">
        <v>92</v>
      </c>
      <c r="X351" t="s">
        <v>83</v>
      </c>
      <c r="Y351" t="s">
        <v>44</v>
      </c>
      <c r="Z351">
        <v>3</v>
      </c>
    </row>
    <row r="352" spans="1:26" x14ac:dyDescent="0.2">
      <c r="A352">
        <v>3777</v>
      </c>
      <c r="B352" t="s">
        <v>1653</v>
      </c>
      <c r="C352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 s="3">
        <v>12906</v>
      </c>
      <c r="W352" t="s">
        <v>92</v>
      </c>
      <c r="X352" t="s">
        <v>74</v>
      </c>
      <c r="Y352" t="s">
        <v>44</v>
      </c>
      <c r="Z352">
        <v>3</v>
      </c>
    </row>
    <row r="353" spans="1:26" x14ac:dyDescent="0.2">
      <c r="A353">
        <v>3778</v>
      </c>
      <c r="B353" t="s">
        <v>1656</v>
      </c>
      <c r="C35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t="s">
        <v>132</v>
      </c>
      <c r="J353" t="s">
        <v>32</v>
      </c>
      <c r="K353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 s="3">
        <v>30753</v>
      </c>
      <c r="W353" t="s">
        <v>73</v>
      </c>
      <c r="X353" t="s">
        <v>83</v>
      </c>
      <c r="Y353" t="s">
        <v>44</v>
      </c>
      <c r="Z353">
        <v>3</v>
      </c>
    </row>
    <row r="354" spans="1:26" x14ac:dyDescent="0.2">
      <c r="A354">
        <v>3779</v>
      </c>
      <c r="B354" t="s">
        <v>1660</v>
      </c>
      <c r="C35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t="s">
        <v>167</v>
      </c>
      <c r="J354" t="s">
        <v>197</v>
      </c>
      <c r="K354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 s="3">
        <v>60533</v>
      </c>
      <c r="W354" t="s">
        <v>73</v>
      </c>
      <c r="X354" t="s">
        <v>103</v>
      </c>
      <c r="Y354" t="s">
        <v>44</v>
      </c>
      <c r="Z354">
        <v>3</v>
      </c>
    </row>
    <row r="355" spans="1:26" x14ac:dyDescent="0.2">
      <c r="A355">
        <v>3780</v>
      </c>
      <c r="B355" t="s">
        <v>1664</v>
      </c>
      <c r="C355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t="s">
        <v>61</v>
      </c>
      <c r="J355" t="s">
        <v>197</v>
      </c>
      <c r="K35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 s="3">
        <v>36882</v>
      </c>
      <c r="W355" t="s">
        <v>92</v>
      </c>
      <c r="X355" t="s">
        <v>43</v>
      </c>
      <c r="Y355" t="s">
        <v>44</v>
      </c>
      <c r="Z355">
        <v>3</v>
      </c>
    </row>
    <row r="356" spans="1:26" x14ac:dyDescent="0.2">
      <c r="A356">
        <v>3781</v>
      </c>
      <c r="B356" t="s">
        <v>1668</v>
      </c>
      <c r="C356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t="s">
        <v>117</v>
      </c>
      <c r="J356" t="s">
        <v>197</v>
      </c>
      <c r="K35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 s="3">
        <v>62493</v>
      </c>
      <c r="W356" t="s">
        <v>92</v>
      </c>
      <c r="X356" t="s">
        <v>74</v>
      </c>
      <c r="Y356" t="s">
        <v>44</v>
      </c>
      <c r="Z356">
        <v>3</v>
      </c>
    </row>
    <row r="357" spans="1:26" x14ac:dyDescent="0.2">
      <c r="A357">
        <v>3782</v>
      </c>
      <c r="B357" t="s">
        <v>1673</v>
      </c>
      <c r="C357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t="s">
        <v>138</v>
      </c>
      <c r="J357" t="s">
        <v>744</v>
      </c>
      <c r="K357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 s="3">
        <v>92706</v>
      </c>
      <c r="W357" t="s">
        <v>127</v>
      </c>
      <c r="X357" t="s">
        <v>43</v>
      </c>
      <c r="Y357" t="s">
        <v>44</v>
      </c>
      <c r="Z357">
        <v>3</v>
      </c>
    </row>
    <row r="358" spans="1:26" x14ac:dyDescent="0.2">
      <c r="A358">
        <v>3783</v>
      </c>
      <c r="B358" t="s">
        <v>1677</v>
      </c>
      <c r="C358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 s="3">
        <v>7773</v>
      </c>
      <c r="W358" t="s">
        <v>127</v>
      </c>
      <c r="X358" t="s">
        <v>103</v>
      </c>
      <c r="Y358" t="s">
        <v>44</v>
      </c>
      <c r="Z358">
        <v>3</v>
      </c>
    </row>
    <row r="359" spans="1:26" x14ac:dyDescent="0.2">
      <c r="A359">
        <v>3784</v>
      </c>
      <c r="B359" t="s">
        <v>1681</v>
      </c>
      <c r="C359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 s="3">
        <v>55514</v>
      </c>
      <c r="W359" t="s">
        <v>42</v>
      </c>
      <c r="X359" t="s">
        <v>74</v>
      </c>
      <c r="Y359" t="s">
        <v>44</v>
      </c>
      <c r="Z359">
        <v>3</v>
      </c>
    </row>
    <row r="360" spans="1:26" x14ac:dyDescent="0.2">
      <c r="A360">
        <v>3785</v>
      </c>
      <c r="B360" t="s">
        <v>1360</v>
      </c>
      <c r="C360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 s="3">
        <v>13406</v>
      </c>
      <c r="W360" t="s">
        <v>92</v>
      </c>
      <c r="X360" t="s">
        <v>103</v>
      </c>
      <c r="Y360" t="s">
        <v>44</v>
      </c>
      <c r="Z360">
        <v>3</v>
      </c>
    </row>
    <row r="361" spans="1:26" x14ac:dyDescent="0.2">
      <c r="A361">
        <v>3786</v>
      </c>
      <c r="B361" t="s">
        <v>1688</v>
      </c>
      <c r="C361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t="s">
        <v>167</v>
      </c>
      <c r="J361" t="s">
        <v>744</v>
      </c>
      <c r="K361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 s="3">
        <v>65379</v>
      </c>
      <c r="W361" t="s">
        <v>92</v>
      </c>
      <c r="X361" t="s">
        <v>103</v>
      </c>
      <c r="Y361" t="s">
        <v>44</v>
      </c>
      <c r="Z361">
        <v>3</v>
      </c>
    </row>
    <row r="362" spans="1:26" x14ac:dyDescent="0.2">
      <c r="A362">
        <v>3787</v>
      </c>
      <c r="B362" t="s">
        <v>1235</v>
      </c>
      <c r="C362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t="s">
        <v>132</v>
      </c>
      <c r="J362" t="s">
        <v>744</v>
      </c>
      <c r="K362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 s="3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">
      <c r="A363">
        <v>3788</v>
      </c>
      <c r="B363" t="s">
        <v>1696</v>
      </c>
      <c r="C36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t="s">
        <v>79</v>
      </c>
      <c r="J363" t="s">
        <v>744</v>
      </c>
      <c r="K363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 s="3">
        <v>32440</v>
      </c>
      <c r="W363" t="s">
        <v>92</v>
      </c>
      <c r="X363" t="s">
        <v>83</v>
      </c>
      <c r="Y363" t="s">
        <v>44</v>
      </c>
      <c r="Z363">
        <v>3</v>
      </c>
    </row>
    <row r="364" spans="1:26" x14ac:dyDescent="0.2">
      <c r="A364">
        <v>3789</v>
      </c>
      <c r="B364" t="s">
        <v>1700</v>
      </c>
      <c r="C36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 s="3">
        <v>30804</v>
      </c>
      <c r="W364" t="s">
        <v>73</v>
      </c>
      <c r="X364" t="s">
        <v>43</v>
      </c>
      <c r="Y364" t="s">
        <v>44</v>
      </c>
      <c r="Z364">
        <v>3</v>
      </c>
    </row>
    <row r="365" spans="1:26" x14ac:dyDescent="0.2">
      <c r="A365">
        <v>3790</v>
      </c>
      <c r="B365" t="s">
        <v>936</v>
      </c>
      <c r="C365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t="s">
        <v>167</v>
      </c>
      <c r="J365" t="s">
        <v>32</v>
      </c>
      <c r="K36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 s="3">
        <v>17247</v>
      </c>
      <c r="W365" t="s">
        <v>55</v>
      </c>
      <c r="X365" t="s">
        <v>74</v>
      </c>
      <c r="Y365" t="s">
        <v>44</v>
      </c>
      <c r="Z365">
        <v>3</v>
      </c>
    </row>
    <row r="366" spans="1:26" x14ac:dyDescent="0.2">
      <c r="A366">
        <v>3791</v>
      </c>
      <c r="B366" t="s">
        <v>429</v>
      </c>
      <c r="C366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 s="3">
        <v>32417</v>
      </c>
      <c r="W366" t="s">
        <v>127</v>
      </c>
      <c r="X366" t="s">
        <v>103</v>
      </c>
      <c r="Y366" t="s">
        <v>44</v>
      </c>
      <c r="Z366">
        <v>3</v>
      </c>
    </row>
    <row r="367" spans="1:26" x14ac:dyDescent="0.2">
      <c r="A367">
        <v>3792</v>
      </c>
      <c r="B367" t="s">
        <v>1710</v>
      </c>
      <c r="C367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t="s">
        <v>117</v>
      </c>
      <c r="J367" t="s">
        <v>32</v>
      </c>
      <c r="K367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 s="3">
        <v>50738</v>
      </c>
      <c r="W367" t="s">
        <v>42</v>
      </c>
      <c r="X367" t="s">
        <v>83</v>
      </c>
      <c r="Y367" t="s">
        <v>44</v>
      </c>
      <c r="Z367">
        <v>3</v>
      </c>
    </row>
    <row r="368" spans="1:26" x14ac:dyDescent="0.2">
      <c r="A368">
        <v>3793</v>
      </c>
      <c r="B368" t="s">
        <v>1715</v>
      </c>
      <c r="C368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 s="3">
        <v>34278</v>
      </c>
      <c r="W368" t="s">
        <v>127</v>
      </c>
      <c r="X368" t="s">
        <v>83</v>
      </c>
      <c r="Y368" t="s">
        <v>44</v>
      </c>
      <c r="Z368">
        <v>3</v>
      </c>
    </row>
    <row r="369" spans="1:26" x14ac:dyDescent="0.2">
      <c r="A369">
        <v>3794</v>
      </c>
      <c r="B369" t="s">
        <v>1719</v>
      </c>
      <c r="C369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 s="3">
        <v>40836</v>
      </c>
      <c r="W369" t="s">
        <v>127</v>
      </c>
      <c r="X369" t="s">
        <v>43</v>
      </c>
      <c r="Y369" t="s">
        <v>44</v>
      </c>
      <c r="Z369">
        <v>5</v>
      </c>
    </row>
    <row r="370" spans="1:26" x14ac:dyDescent="0.2">
      <c r="A370">
        <v>3795</v>
      </c>
      <c r="B370" t="s">
        <v>1490</v>
      </c>
      <c r="C370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 s="3">
        <v>59081</v>
      </c>
      <c r="W370" t="s">
        <v>42</v>
      </c>
      <c r="X370" t="s">
        <v>103</v>
      </c>
      <c r="Y370" t="s">
        <v>104</v>
      </c>
      <c r="Z370">
        <v>3</v>
      </c>
    </row>
    <row r="371" spans="1:26" x14ac:dyDescent="0.2">
      <c r="A371">
        <v>3796</v>
      </c>
      <c r="B371" t="s">
        <v>1726</v>
      </c>
      <c r="C371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t="s">
        <v>132</v>
      </c>
      <c r="J371" t="s">
        <v>32</v>
      </c>
      <c r="K371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 s="3">
        <v>82019</v>
      </c>
      <c r="W371" t="s">
        <v>55</v>
      </c>
      <c r="X371" t="s">
        <v>83</v>
      </c>
      <c r="Y371" t="s">
        <v>104</v>
      </c>
      <c r="Z371">
        <v>3</v>
      </c>
    </row>
    <row r="372" spans="1:26" x14ac:dyDescent="0.2">
      <c r="A372">
        <v>3797</v>
      </c>
      <c r="B372" t="s">
        <v>1730</v>
      </c>
      <c r="C372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 s="3">
        <v>32969</v>
      </c>
      <c r="W372" t="s">
        <v>92</v>
      </c>
      <c r="X372" t="s">
        <v>83</v>
      </c>
      <c r="Y372" t="s">
        <v>44</v>
      </c>
      <c r="Z372">
        <v>3</v>
      </c>
    </row>
    <row r="373" spans="1:26" x14ac:dyDescent="0.2">
      <c r="A373">
        <v>3798</v>
      </c>
      <c r="B373" t="s">
        <v>1734</v>
      </c>
      <c r="C37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t="s">
        <v>138</v>
      </c>
      <c r="J373" t="s">
        <v>32</v>
      </c>
      <c r="K373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 s="3">
        <v>36648</v>
      </c>
      <c r="W373" t="s">
        <v>73</v>
      </c>
      <c r="X373" t="s">
        <v>43</v>
      </c>
      <c r="Y373" t="s">
        <v>44</v>
      </c>
      <c r="Z373">
        <v>3</v>
      </c>
    </row>
    <row r="374" spans="1:26" x14ac:dyDescent="0.2">
      <c r="A374">
        <v>3799</v>
      </c>
      <c r="B374" t="s">
        <v>1739</v>
      </c>
      <c r="C37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 s="3">
        <v>95984</v>
      </c>
      <c r="W374" t="s">
        <v>55</v>
      </c>
      <c r="X374" t="s">
        <v>74</v>
      </c>
      <c r="Y374" t="s">
        <v>104</v>
      </c>
      <c r="Z374">
        <v>3</v>
      </c>
    </row>
    <row r="375" spans="1:26" x14ac:dyDescent="0.2">
      <c r="A375">
        <v>3800</v>
      </c>
      <c r="B375" t="s">
        <v>1296</v>
      </c>
      <c r="C375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 s="3">
        <v>31864</v>
      </c>
      <c r="W375" t="s">
        <v>73</v>
      </c>
      <c r="X375" t="s">
        <v>83</v>
      </c>
      <c r="Y375" t="s">
        <v>44</v>
      </c>
      <c r="Z375">
        <v>3</v>
      </c>
    </row>
    <row r="376" spans="1:26" x14ac:dyDescent="0.2">
      <c r="A376">
        <v>3801</v>
      </c>
      <c r="B376" t="s">
        <v>1745</v>
      </c>
      <c r="C376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 s="3">
        <v>54738</v>
      </c>
      <c r="W376" t="s">
        <v>55</v>
      </c>
      <c r="X376" t="s">
        <v>74</v>
      </c>
      <c r="Y376" t="s">
        <v>44</v>
      </c>
      <c r="Z376">
        <v>3</v>
      </c>
    </row>
    <row r="377" spans="1:26" x14ac:dyDescent="0.2">
      <c r="A377">
        <v>3802</v>
      </c>
      <c r="B377" t="s">
        <v>1748</v>
      </c>
      <c r="C377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 s="3">
        <v>65896</v>
      </c>
      <c r="W377" t="s">
        <v>42</v>
      </c>
      <c r="X377" t="s">
        <v>103</v>
      </c>
      <c r="Y377" t="s">
        <v>44</v>
      </c>
      <c r="Z377">
        <v>3</v>
      </c>
    </row>
    <row r="378" spans="1:26" x14ac:dyDescent="0.2">
      <c r="A378">
        <v>3803</v>
      </c>
      <c r="B378" t="s">
        <v>1252</v>
      </c>
      <c r="C378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t="s">
        <v>61</v>
      </c>
      <c r="J378" t="s">
        <v>197</v>
      </c>
      <c r="K378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 s="3">
        <v>35618</v>
      </c>
      <c r="W378" t="s">
        <v>92</v>
      </c>
      <c r="X378" t="s">
        <v>74</v>
      </c>
      <c r="Y378" t="s">
        <v>44</v>
      </c>
      <c r="Z378">
        <v>3</v>
      </c>
    </row>
    <row r="379" spans="1:26" x14ac:dyDescent="0.2">
      <c r="A379">
        <v>3804</v>
      </c>
      <c r="B379" t="s">
        <v>385</v>
      </c>
      <c r="C379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 s="3">
        <v>17561</v>
      </c>
      <c r="W379" t="s">
        <v>55</v>
      </c>
      <c r="X379" t="s">
        <v>74</v>
      </c>
      <c r="Y379" t="s">
        <v>44</v>
      </c>
      <c r="Z379">
        <v>3</v>
      </c>
    </row>
    <row r="380" spans="1:26" x14ac:dyDescent="0.2">
      <c r="A380">
        <v>3805</v>
      </c>
      <c r="B380" t="s">
        <v>1758</v>
      </c>
      <c r="C380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 s="3">
        <v>13779</v>
      </c>
      <c r="W380" t="s">
        <v>73</v>
      </c>
      <c r="X380" t="s">
        <v>103</v>
      </c>
      <c r="Y380" t="s">
        <v>44</v>
      </c>
      <c r="Z380">
        <v>3</v>
      </c>
    </row>
    <row r="381" spans="1:26" x14ac:dyDescent="0.2">
      <c r="A381">
        <v>3806</v>
      </c>
      <c r="B381" t="s">
        <v>1762</v>
      </c>
      <c r="C381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t="s">
        <v>132</v>
      </c>
      <c r="J381" t="s">
        <v>32</v>
      </c>
      <c r="K381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 s="3">
        <v>31026</v>
      </c>
      <c r="W381" t="s">
        <v>73</v>
      </c>
      <c r="X381" t="s">
        <v>83</v>
      </c>
      <c r="Y381" t="s">
        <v>44</v>
      </c>
      <c r="Z381">
        <v>3</v>
      </c>
    </row>
    <row r="382" spans="1:26" x14ac:dyDescent="0.2">
      <c r="A382">
        <v>3807</v>
      </c>
      <c r="B382" t="s">
        <v>1767</v>
      </c>
      <c r="C382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 s="3">
        <v>84074</v>
      </c>
      <c r="W382" t="s">
        <v>127</v>
      </c>
      <c r="X382" t="s">
        <v>74</v>
      </c>
      <c r="Y382" t="s">
        <v>44</v>
      </c>
      <c r="Z382">
        <v>3</v>
      </c>
    </row>
    <row r="383" spans="1:26" x14ac:dyDescent="0.2">
      <c r="A383">
        <v>3808</v>
      </c>
      <c r="B383" t="s">
        <v>1730</v>
      </c>
      <c r="C38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t="s">
        <v>167</v>
      </c>
      <c r="J383" t="s">
        <v>32</v>
      </c>
      <c r="K383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 s="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">
      <c r="A384">
        <v>3809</v>
      </c>
      <c r="B384" t="s">
        <v>1776</v>
      </c>
      <c r="C38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t="s">
        <v>79</v>
      </c>
      <c r="J384" t="s">
        <v>32</v>
      </c>
      <c r="K384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 s="3">
        <v>2343</v>
      </c>
      <c r="W384" t="s">
        <v>55</v>
      </c>
      <c r="X384" t="s">
        <v>74</v>
      </c>
      <c r="Y384" t="s">
        <v>44</v>
      </c>
      <c r="Z384">
        <v>3</v>
      </c>
    </row>
    <row r="385" spans="1:26" x14ac:dyDescent="0.2">
      <c r="A385">
        <v>3810</v>
      </c>
      <c r="B385" t="s">
        <v>1635</v>
      </c>
      <c r="C385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 s="3">
        <v>6033</v>
      </c>
      <c r="W385" t="s">
        <v>92</v>
      </c>
      <c r="X385" t="s">
        <v>74</v>
      </c>
      <c r="Y385" t="s">
        <v>44</v>
      </c>
      <c r="Z385">
        <v>3</v>
      </c>
    </row>
    <row r="386" spans="1:26" x14ac:dyDescent="0.2">
      <c r="A386">
        <v>3811</v>
      </c>
      <c r="B386" t="s">
        <v>1786</v>
      </c>
      <c r="C386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t="s">
        <v>61</v>
      </c>
      <c r="J386" t="s">
        <v>32</v>
      </c>
      <c r="K38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 s="3">
        <v>6278</v>
      </c>
      <c r="W386" t="s">
        <v>55</v>
      </c>
      <c r="X386" t="s">
        <v>43</v>
      </c>
      <c r="Y386" t="s">
        <v>44</v>
      </c>
      <c r="Z386">
        <v>3</v>
      </c>
    </row>
    <row r="387" spans="1:26" x14ac:dyDescent="0.2">
      <c r="A387">
        <v>3812</v>
      </c>
      <c r="B387" t="s">
        <v>1791</v>
      </c>
      <c r="C387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t="s">
        <v>88</v>
      </c>
      <c r="J387" t="s">
        <v>32</v>
      </c>
      <c r="K387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 s="3">
        <v>2453</v>
      </c>
      <c r="W387" t="s">
        <v>55</v>
      </c>
      <c r="X387" t="s">
        <v>74</v>
      </c>
      <c r="Y387" t="s">
        <v>44</v>
      </c>
      <c r="Z387">
        <v>3</v>
      </c>
    </row>
    <row r="388" spans="1:26" x14ac:dyDescent="0.2">
      <c r="A388">
        <v>3813</v>
      </c>
      <c r="B388" t="s">
        <v>1796</v>
      </c>
      <c r="C388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 s="3">
        <v>1886</v>
      </c>
      <c r="W388" t="s">
        <v>55</v>
      </c>
      <c r="X388" t="s">
        <v>43</v>
      </c>
      <c r="Y388" t="s">
        <v>44</v>
      </c>
      <c r="Z388">
        <v>3</v>
      </c>
    </row>
    <row r="389" spans="1:26" x14ac:dyDescent="0.2">
      <c r="A389">
        <v>3814</v>
      </c>
      <c r="B389" t="s">
        <v>1800</v>
      </c>
      <c r="C389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t="s">
        <v>49</v>
      </c>
      <c r="J389" t="s">
        <v>1804</v>
      </c>
      <c r="K389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 s="3">
        <v>2169</v>
      </c>
      <c r="W389" t="s">
        <v>92</v>
      </c>
      <c r="X389" t="s">
        <v>43</v>
      </c>
      <c r="Y389" t="s">
        <v>44</v>
      </c>
      <c r="Z389">
        <v>3</v>
      </c>
    </row>
    <row r="390" spans="1:26" x14ac:dyDescent="0.2">
      <c r="A390">
        <v>3815</v>
      </c>
      <c r="B390" t="s">
        <v>1806</v>
      </c>
      <c r="C390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 s="3">
        <v>1420</v>
      </c>
      <c r="W390" t="s">
        <v>42</v>
      </c>
      <c r="X390" t="s">
        <v>103</v>
      </c>
      <c r="Y390" t="s">
        <v>44</v>
      </c>
      <c r="Z390">
        <v>3</v>
      </c>
    </row>
    <row r="391" spans="1:26" x14ac:dyDescent="0.2">
      <c r="A391">
        <v>3816</v>
      </c>
      <c r="B391" t="s">
        <v>1810</v>
      </c>
      <c r="C391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 s="3">
        <v>2135</v>
      </c>
      <c r="W391" t="s">
        <v>55</v>
      </c>
      <c r="X391" t="s">
        <v>74</v>
      </c>
      <c r="Y391" t="s">
        <v>44</v>
      </c>
      <c r="Z391">
        <v>3</v>
      </c>
    </row>
    <row r="392" spans="1:26" x14ac:dyDescent="0.2">
      <c r="A392">
        <v>3817</v>
      </c>
      <c r="B392" t="s">
        <v>1814</v>
      </c>
      <c r="C392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t="s">
        <v>31</v>
      </c>
      <c r="J392" t="s">
        <v>32</v>
      </c>
      <c r="K392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 s="3">
        <v>2119</v>
      </c>
      <c r="W392" t="s">
        <v>92</v>
      </c>
      <c r="X392" t="s">
        <v>74</v>
      </c>
      <c r="Y392" t="s">
        <v>235</v>
      </c>
      <c r="Z392">
        <v>3</v>
      </c>
    </row>
    <row r="393" spans="1:26" x14ac:dyDescent="0.2">
      <c r="A393">
        <v>3818</v>
      </c>
      <c r="B393" t="s">
        <v>1819</v>
      </c>
      <c r="C39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 s="3">
        <v>2138</v>
      </c>
      <c r="W393" t="s">
        <v>127</v>
      </c>
      <c r="X393" t="s">
        <v>74</v>
      </c>
      <c r="Y393" t="s">
        <v>44</v>
      </c>
      <c r="Z393">
        <v>3</v>
      </c>
    </row>
    <row r="394" spans="1:26" x14ac:dyDescent="0.2">
      <c r="A394">
        <v>3819</v>
      </c>
      <c r="B394" t="s">
        <v>1824</v>
      </c>
      <c r="C39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 s="3">
        <v>2048</v>
      </c>
      <c r="W394" t="s">
        <v>127</v>
      </c>
      <c r="X394" t="s">
        <v>74</v>
      </c>
      <c r="Y394" t="s">
        <v>44</v>
      </c>
      <c r="Z394">
        <v>3</v>
      </c>
    </row>
    <row r="395" spans="1:26" x14ac:dyDescent="0.2">
      <c r="A395">
        <v>3820</v>
      </c>
      <c r="B395" t="s">
        <v>1828</v>
      </c>
      <c r="C395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t="s">
        <v>49</v>
      </c>
      <c r="J395" t="s">
        <v>32</v>
      </c>
      <c r="K39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 s="3">
        <v>1773</v>
      </c>
      <c r="W395" t="s">
        <v>73</v>
      </c>
      <c r="X395" t="s">
        <v>103</v>
      </c>
      <c r="Y395" t="s">
        <v>44</v>
      </c>
      <c r="Z395">
        <v>3</v>
      </c>
    </row>
    <row r="396" spans="1:26" x14ac:dyDescent="0.2">
      <c r="A396">
        <v>3821</v>
      </c>
      <c r="B396" t="s">
        <v>1833</v>
      </c>
      <c r="C396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 s="3">
        <v>1545</v>
      </c>
      <c r="W396" t="s">
        <v>42</v>
      </c>
      <c r="X396" t="s">
        <v>74</v>
      </c>
      <c r="Y396" t="s">
        <v>44</v>
      </c>
      <c r="Z396">
        <v>3</v>
      </c>
    </row>
    <row r="397" spans="1:26" x14ac:dyDescent="0.2">
      <c r="A397">
        <v>3822</v>
      </c>
      <c r="B397" t="s">
        <v>1837</v>
      </c>
      <c r="C397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t="s">
        <v>97</v>
      </c>
      <c r="J397" t="s">
        <v>32</v>
      </c>
      <c r="K397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 s="3">
        <v>56727</v>
      </c>
      <c r="W397" t="s">
        <v>55</v>
      </c>
      <c r="X397" t="s">
        <v>103</v>
      </c>
      <c r="Y397" t="s">
        <v>44</v>
      </c>
      <c r="Z397">
        <v>3</v>
      </c>
    </row>
    <row r="398" spans="1:26" x14ac:dyDescent="0.2">
      <c r="A398">
        <v>3823</v>
      </c>
      <c r="B398" t="s">
        <v>1843</v>
      </c>
      <c r="C398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t="s">
        <v>79</v>
      </c>
      <c r="J398" t="s">
        <v>32</v>
      </c>
      <c r="K398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 s="3">
        <v>12469</v>
      </c>
      <c r="W398" t="s">
        <v>42</v>
      </c>
      <c r="X398" t="s">
        <v>74</v>
      </c>
      <c r="Y398" t="s">
        <v>235</v>
      </c>
      <c r="Z398">
        <v>3</v>
      </c>
    </row>
    <row r="399" spans="1:26" x14ac:dyDescent="0.2">
      <c r="A399">
        <v>3824</v>
      </c>
      <c r="B399" t="s">
        <v>1848</v>
      </c>
      <c r="C399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 s="3">
        <v>83312</v>
      </c>
      <c r="W399" t="s">
        <v>92</v>
      </c>
      <c r="X399" t="s">
        <v>74</v>
      </c>
      <c r="Y399" t="s">
        <v>44</v>
      </c>
      <c r="Z399">
        <v>3</v>
      </c>
    </row>
    <row r="400" spans="1:26" x14ac:dyDescent="0.2">
      <c r="A400">
        <v>3825</v>
      </c>
      <c r="B400" t="s">
        <v>999</v>
      </c>
      <c r="C400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 s="3">
        <v>97413</v>
      </c>
      <c r="W400" t="s">
        <v>92</v>
      </c>
      <c r="X400" t="s">
        <v>83</v>
      </c>
      <c r="Y400" t="s">
        <v>44</v>
      </c>
      <c r="Z400">
        <v>3</v>
      </c>
    </row>
    <row r="401" spans="1:26" x14ac:dyDescent="0.2">
      <c r="A401">
        <v>3826</v>
      </c>
      <c r="B401" t="s">
        <v>1854</v>
      </c>
      <c r="C401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t="s">
        <v>61</v>
      </c>
      <c r="J401" t="s">
        <v>32</v>
      </c>
      <c r="K401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 s="3">
        <v>21759</v>
      </c>
      <c r="W401" t="s">
        <v>127</v>
      </c>
      <c r="X401" t="s">
        <v>103</v>
      </c>
      <c r="Y401" t="s">
        <v>44</v>
      </c>
      <c r="Z401">
        <v>3</v>
      </c>
    </row>
    <row r="402" spans="1:26" x14ac:dyDescent="0.2">
      <c r="A402">
        <v>3827</v>
      </c>
      <c r="B402" t="s">
        <v>936</v>
      </c>
      <c r="C402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 s="3">
        <v>79707</v>
      </c>
      <c r="W402" t="s">
        <v>127</v>
      </c>
      <c r="X402" t="s">
        <v>43</v>
      </c>
      <c r="Y402" t="s">
        <v>44</v>
      </c>
      <c r="Z402">
        <v>3</v>
      </c>
    </row>
    <row r="403" spans="1:26" x14ac:dyDescent="0.2">
      <c r="A403">
        <v>3828</v>
      </c>
      <c r="B403" t="s">
        <v>1861</v>
      </c>
      <c r="C40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 s="3">
        <v>84152</v>
      </c>
      <c r="W403" t="s">
        <v>92</v>
      </c>
      <c r="X403" t="s">
        <v>103</v>
      </c>
      <c r="Y403" t="s">
        <v>44</v>
      </c>
      <c r="Z403">
        <v>3</v>
      </c>
    </row>
    <row r="404" spans="1:26" x14ac:dyDescent="0.2">
      <c r="A404">
        <v>3829</v>
      </c>
      <c r="B404" t="s">
        <v>840</v>
      </c>
      <c r="C40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t="s">
        <v>88</v>
      </c>
      <c r="J404" t="s">
        <v>32</v>
      </c>
      <c r="K404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 s="3">
        <v>55408</v>
      </c>
      <c r="W404" t="s">
        <v>73</v>
      </c>
      <c r="X404" t="s">
        <v>83</v>
      </c>
      <c r="Y404" t="s">
        <v>104</v>
      </c>
      <c r="Z404">
        <v>3</v>
      </c>
    </row>
    <row r="405" spans="1:26" x14ac:dyDescent="0.2">
      <c r="A405">
        <v>3830</v>
      </c>
      <c r="B405" t="s">
        <v>1869</v>
      </c>
      <c r="C405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 s="3">
        <v>89892</v>
      </c>
      <c r="W405" t="s">
        <v>42</v>
      </c>
      <c r="X405" t="s">
        <v>43</v>
      </c>
      <c r="Y405" t="s">
        <v>739</v>
      </c>
      <c r="Z405">
        <v>3</v>
      </c>
    </row>
    <row r="406" spans="1:26" x14ac:dyDescent="0.2">
      <c r="A406">
        <v>3831</v>
      </c>
      <c r="B406" t="s">
        <v>1873</v>
      </c>
      <c r="C406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 s="3">
        <v>16260</v>
      </c>
      <c r="W406" t="s">
        <v>55</v>
      </c>
      <c r="X406" t="s">
        <v>103</v>
      </c>
      <c r="Y406" t="s">
        <v>235</v>
      </c>
      <c r="Z406">
        <v>3</v>
      </c>
    </row>
    <row r="407" spans="1:26" x14ac:dyDescent="0.2">
      <c r="A407">
        <v>3832</v>
      </c>
      <c r="B407" t="s">
        <v>1877</v>
      </c>
      <c r="C407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t="s">
        <v>49</v>
      </c>
      <c r="J407" t="s">
        <v>1804</v>
      </c>
      <c r="K407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 s="3">
        <v>96097</v>
      </c>
      <c r="W407" t="s">
        <v>55</v>
      </c>
      <c r="X407" t="s">
        <v>43</v>
      </c>
      <c r="Y407" t="s">
        <v>739</v>
      </c>
      <c r="Z407">
        <v>3</v>
      </c>
    </row>
    <row r="408" spans="1:26" x14ac:dyDescent="0.2">
      <c r="A408">
        <v>3833</v>
      </c>
      <c r="B408" t="s">
        <v>1883</v>
      </c>
      <c r="C408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t="s">
        <v>167</v>
      </c>
      <c r="J408" t="s">
        <v>32</v>
      </c>
      <c r="K408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 s="3">
        <v>21738</v>
      </c>
      <c r="W408" t="s">
        <v>127</v>
      </c>
      <c r="X408" t="s">
        <v>74</v>
      </c>
      <c r="Y408" t="s">
        <v>739</v>
      </c>
      <c r="Z408">
        <v>3</v>
      </c>
    </row>
    <row r="409" spans="1:26" x14ac:dyDescent="0.2">
      <c r="A409">
        <v>3834</v>
      </c>
      <c r="B409" t="s">
        <v>1500</v>
      </c>
      <c r="C409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t="s">
        <v>97</v>
      </c>
      <c r="J409" t="s">
        <v>32</v>
      </c>
      <c r="K409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 s="3">
        <v>40039</v>
      </c>
      <c r="W409" t="s">
        <v>55</v>
      </c>
      <c r="X409" t="s">
        <v>83</v>
      </c>
      <c r="Y409" t="s">
        <v>44</v>
      </c>
      <c r="Z409">
        <v>3</v>
      </c>
    </row>
    <row r="410" spans="1:26" x14ac:dyDescent="0.2">
      <c r="A410">
        <v>3835</v>
      </c>
      <c r="B410" t="s">
        <v>243</v>
      </c>
      <c r="C410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t="s">
        <v>117</v>
      </c>
      <c r="J410" t="s">
        <v>32</v>
      </c>
      <c r="K410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 s="3">
        <v>45952</v>
      </c>
      <c r="W410" t="s">
        <v>55</v>
      </c>
      <c r="X410" t="s">
        <v>103</v>
      </c>
      <c r="Y410" t="s">
        <v>44</v>
      </c>
      <c r="Z410">
        <v>3</v>
      </c>
    </row>
    <row r="411" spans="1:26" x14ac:dyDescent="0.2">
      <c r="A411">
        <v>3836</v>
      </c>
      <c r="B411" t="s">
        <v>1351</v>
      </c>
      <c r="C411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 s="3">
        <v>9738</v>
      </c>
      <c r="W411" t="s">
        <v>92</v>
      </c>
      <c r="X411" t="s">
        <v>74</v>
      </c>
      <c r="Y411" t="s">
        <v>44</v>
      </c>
      <c r="Z411">
        <v>3</v>
      </c>
    </row>
    <row r="412" spans="1:26" x14ac:dyDescent="0.2">
      <c r="A412">
        <v>3837</v>
      </c>
      <c r="B412" t="s">
        <v>1898</v>
      </c>
      <c r="C412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t="s">
        <v>88</v>
      </c>
      <c r="J412" t="s">
        <v>32</v>
      </c>
      <c r="K412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 s="3">
        <v>72879</v>
      </c>
      <c r="W412" t="s">
        <v>73</v>
      </c>
      <c r="X412" t="s">
        <v>74</v>
      </c>
      <c r="Y412" t="s">
        <v>739</v>
      </c>
      <c r="Z412">
        <v>3</v>
      </c>
    </row>
    <row r="413" spans="1:26" x14ac:dyDescent="0.2">
      <c r="A413">
        <v>3838</v>
      </c>
      <c r="B413" t="s">
        <v>1824</v>
      </c>
      <c r="C41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t="s">
        <v>31</v>
      </c>
      <c r="J413" t="s">
        <v>32</v>
      </c>
      <c r="K413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 s="3">
        <v>28364</v>
      </c>
      <c r="W413" t="s">
        <v>127</v>
      </c>
      <c r="X413" t="s">
        <v>74</v>
      </c>
      <c r="Y413" t="s">
        <v>739</v>
      </c>
      <c r="Z413">
        <v>3</v>
      </c>
    </row>
    <row r="414" spans="1:26" x14ac:dyDescent="0.2">
      <c r="A414">
        <v>3839</v>
      </c>
      <c r="B414" t="s">
        <v>1907</v>
      </c>
      <c r="C41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 s="3">
        <v>94433</v>
      </c>
      <c r="W414" t="s">
        <v>55</v>
      </c>
      <c r="X414" t="s">
        <v>103</v>
      </c>
      <c r="Y414" t="s">
        <v>739</v>
      </c>
      <c r="Z414">
        <v>3</v>
      </c>
    </row>
    <row r="415" spans="1:26" x14ac:dyDescent="0.2">
      <c r="A415">
        <v>3840</v>
      </c>
      <c r="B415" t="s">
        <v>1911</v>
      </c>
      <c r="C415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t="s">
        <v>88</v>
      </c>
      <c r="J415" t="s">
        <v>32</v>
      </c>
      <c r="K41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 s="3">
        <v>97654</v>
      </c>
      <c r="W415" t="s">
        <v>55</v>
      </c>
      <c r="X415" t="s">
        <v>74</v>
      </c>
      <c r="Y415" t="s">
        <v>44</v>
      </c>
      <c r="Z415">
        <v>3</v>
      </c>
    </row>
    <row r="416" spans="1:26" x14ac:dyDescent="0.2">
      <c r="A416">
        <v>3841</v>
      </c>
      <c r="B416" t="s">
        <v>654</v>
      </c>
      <c r="C416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 s="3">
        <v>78239</v>
      </c>
      <c r="W416" t="s">
        <v>127</v>
      </c>
      <c r="X416" t="s">
        <v>74</v>
      </c>
      <c r="Y416" t="s">
        <v>44</v>
      </c>
      <c r="Z416">
        <v>3</v>
      </c>
    </row>
    <row r="417" spans="1:26" x14ac:dyDescent="0.2">
      <c r="A417">
        <v>3842</v>
      </c>
      <c r="B417" t="s">
        <v>1918</v>
      </c>
      <c r="C417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t="s">
        <v>132</v>
      </c>
      <c r="J417" t="s">
        <v>1804</v>
      </c>
      <c r="K417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 s="3">
        <v>40402</v>
      </c>
      <c r="W417" t="s">
        <v>42</v>
      </c>
      <c r="X417" t="s">
        <v>103</v>
      </c>
      <c r="Y417" t="s">
        <v>44</v>
      </c>
      <c r="Z417">
        <v>3</v>
      </c>
    </row>
    <row r="418" spans="1:26" x14ac:dyDescent="0.2">
      <c r="A418">
        <v>3843</v>
      </c>
      <c r="B418" t="s">
        <v>1922</v>
      </c>
      <c r="C418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t="s">
        <v>49</v>
      </c>
      <c r="J418" t="s">
        <v>1804</v>
      </c>
      <c r="K418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 s="3">
        <v>21480</v>
      </c>
      <c r="W418" t="s">
        <v>127</v>
      </c>
      <c r="X418" t="s">
        <v>74</v>
      </c>
      <c r="Y418" t="s">
        <v>44</v>
      </c>
      <c r="Z418">
        <v>3</v>
      </c>
    </row>
    <row r="419" spans="1:26" x14ac:dyDescent="0.2">
      <c r="A419">
        <v>3844</v>
      </c>
      <c r="B419" t="s">
        <v>1927</v>
      </c>
      <c r="C419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t="s">
        <v>167</v>
      </c>
      <c r="J419" t="s">
        <v>32</v>
      </c>
      <c r="K419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 s="3">
        <v>49677</v>
      </c>
      <c r="W419" t="s">
        <v>42</v>
      </c>
      <c r="X419" t="s">
        <v>74</v>
      </c>
      <c r="Y419" t="s">
        <v>739</v>
      </c>
      <c r="Z419">
        <v>3</v>
      </c>
    </row>
    <row r="420" spans="1:26" x14ac:dyDescent="0.2">
      <c r="A420">
        <v>3845</v>
      </c>
      <c r="B420" t="s">
        <v>381</v>
      </c>
      <c r="C420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 s="3">
        <v>69726</v>
      </c>
      <c r="W420" t="s">
        <v>55</v>
      </c>
      <c r="X420" t="s">
        <v>74</v>
      </c>
      <c r="Y420" t="s">
        <v>739</v>
      </c>
      <c r="Z420">
        <v>3</v>
      </c>
    </row>
    <row r="421" spans="1:26" x14ac:dyDescent="0.2">
      <c r="A421">
        <v>3846</v>
      </c>
      <c r="B421" t="s">
        <v>455</v>
      </c>
      <c r="C421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t="s">
        <v>117</v>
      </c>
      <c r="J421" t="s">
        <v>32</v>
      </c>
      <c r="K421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 s="3">
        <v>44664</v>
      </c>
      <c r="W421" t="s">
        <v>127</v>
      </c>
      <c r="X421" t="s">
        <v>74</v>
      </c>
      <c r="Y421" t="s">
        <v>44</v>
      </c>
      <c r="Z421">
        <v>3</v>
      </c>
    </row>
    <row r="422" spans="1:26" x14ac:dyDescent="0.2">
      <c r="A422">
        <v>3847</v>
      </c>
      <c r="B422" t="s">
        <v>311</v>
      </c>
      <c r="C422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t="s">
        <v>61</v>
      </c>
      <c r="J422" t="s">
        <v>32</v>
      </c>
      <c r="K422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 s="3">
        <v>53800</v>
      </c>
      <c r="W422" t="s">
        <v>55</v>
      </c>
      <c r="X422" t="s">
        <v>74</v>
      </c>
      <c r="Y422" t="s">
        <v>44</v>
      </c>
      <c r="Z422">
        <v>3</v>
      </c>
    </row>
    <row r="423" spans="1:26" x14ac:dyDescent="0.2">
      <c r="A423">
        <v>3848</v>
      </c>
      <c r="B423" t="s">
        <v>1940</v>
      </c>
      <c r="C42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 s="3">
        <v>69459</v>
      </c>
      <c r="W423" t="s">
        <v>127</v>
      </c>
      <c r="X423" t="s">
        <v>83</v>
      </c>
      <c r="Y423" t="s">
        <v>44</v>
      </c>
      <c r="Z423">
        <v>3</v>
      </c>
    </row>
    <row r="424" spans="1:26" x14ac:dyDescent="0.2">
      <c r="A424">
        <v>3849</v>
      </c>
      <c r="B424" t="s">
        <v>1758</v>
      </c>
      <c r="C42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 s="3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">
      <c r="A425">
        <v>3850</v>
      </c>
      <c r="B425" t="s">
        <v>1263</v>
      </c>
      <c r="C425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t="s">
        <v>138</v>
      </c>
      <c r="J425" t="s">
        <v>32</v>
      </c>
      <c r="K42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 s="3">
        <v>77264</v>
      </c>
      <c r="W425" t="s">
        <v>55</v>
      </c>
      <c r="X425" t="s">
        <v>74</v>
      </c>
      <c r="Y425" t="s">
        <v>44</v>
      </c>
      <c r="Z425">
        <v>3</v>
      </c>
    </row>
    <row r="426" spans="1:26" x14ac:dyDescent="0.2">
      <c r="A426">
        <v>3851</v>
      </c>
      <c r="B426" t="s">
        <v>332</v>
      </c>
      <c r="C426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t="s">
        <v>117</v>
      </c>
      <c r="J426" t="s">
        <v>1804</v>
      </c>
      <c r="K42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 s="3">
        <v>38058</v>
      </c>
      <c r="W426" t="s">
        <v>92</v>
      </c>
      <c r="X426" t="s">
        <v>83</v>
      </c>
      <c r="Y426" t="s">
        <v>739</v>
      </c>
      <c r="Z426">
        <v>3</v>
      </c>
    </row>
    <row r="427" spans="1:26" x14ac:dyDescent="0.2">
      <c r="A427">
        <v>3852</v>
      </c>
      <c r="B427" t="s">
        <v>1954</v>
      </c>
      <c r="C427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t="s">
        <v>61</v>
      </c>
      <c r="J427" t="s">
        <v>1804</v>
      </c>
      <c r="K427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 s="3">
        <v>34011</v>
      </c>
      <c r="W427" t="s">
        <v>42</v>
      </c>
      <c r="X427" t="s">
        <v>43</v>
      </c>
      <c r="Y427" t="s">
        <v>739</v>
      </c>
      <c r="Z427">
        <v>3</v>
      </c>
    </row>
    <row r="428" spans="1:26" x14ac:dyDescent="0.2">
      <c r="A428">
        <v>3853</v>
      </c>
      <c r="B428" t="s">
        <v>1959</v>
      </c>
      <c r="C428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t="s">
        <v>167</v>
      </c>
      <c r="J428" t="s">
        <v>1804</v>
      </c>
      <c r="K428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 s="3">
        <v>56198</v>
      </c>
      <c r="W428" t="s">
        <v>127</v>
      </c>
      <c r="X428" t="s">
        <v>74</v>
      </c>
      <c r="Y428" t="s">
        <v>44</v>
      </c>
      <c r="Z428">
        <v>3</v>
      </c>
    </row>
    <row r="429" spans="1:26" x14ac:dyDescent="0.2">
      <c r="A429">
        <v>3854</v>
      </c>
      <c r="B429" t="s">
        <v>1963</v>
      </c>
      <c r="C429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t="s">
        <v>97</v>
      </c>
      <c r="J429" t="s">
        <v>32</v>
      </c>
      <c r="K429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 s="3">
        <v>72343</v>
      </c>
      <c r="W429" t="s">
        <v>92</v>
      </c>
      <c r="X429" t="s">
        <v>74</v>
      </c>
      <c r="Y429" t="s">
        <v>44</v>
      </c>
      <c r="Z429">
        <v>3</v>
      </c>
    </row>
    <row r="430" spans="1:26" x14ac:dyDescent="0.2">
      <c r="A430">
        <v>3855</v>
      </c>
      <c r="B430" t="s">
        <v>1968</v>
      </c>
      <c r="C430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t="s">
        <v>97</v>
      </c>
      <c r="J430" t="s">
        <v>32</v>
      </c>
      <c r="K430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 s="3">
        <v>77314</v>
      </c>
      <c r="W430" t="s">
        <v>73</v>
      </c>
      <c r="X430" t="s">
        <v>43</v>
      </c>
      <c r="Y430" t="s">
        <v>44</v>
      </c>
      <c r="Z430">
        <v>3</v>
      </c>
    </row>
    <row r="431" spans="1:26" x14ac:dyDescent="0.2">
      <c r="A431">
        <v>3856</v>
      </c>
      <c r="B431" t="s">
        <v>1974</v>
      </c>
      <c r="C431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t="s">
        <v>79</v>
      </c>
      <c r="J431" t="s">
        <v>32</v>
      </c>
      <c r="K431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 s="3">
        <v>57170</v>
      </c>
      <c r="W431" t="s">
        <v>73</v>
      </c>
      <c r="X431" t="s">
        <v>103</v>
      </c>
      <c r="Y431" t="s">
        <v>739</v>
      </c>
      <c r="Z431">
        <v>3</v>
      </c>
    </row>
    <row r="432" spans="1:26" x14ac:dyDescent="0.2">
      <c r="A432">
        <v>3857</v>
      </c>
      <c r="B432" t="s">
        <v>1978</v>
      </c>
      <c r="C432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t="s">
        <v>132</v>
      </c>
      <c r="J432" t="s">
        <v>32</v>
      </c>
      <c r="K432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 s="3">
        <v>18837</v>
      </c>
      <c r="W432" t="s">
        <v>92</v>
      </c>
      <c r="X432" t="s">
        <v>43</v>
      </c>
      <c r="Y432" t="s">
        <v>739</v>
      </c>
      <c r="Z432">
        <v>3</v>
      </c>
    </row>
    <row r="433" spans="1:26" x14ac:dyDescent="0.2">
      <c r="A433">
        <v>3858</v>
      </c>
      <c r="B433" t="s">
        <v>977</v>
      </c>
      <c r="C43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 s="3">
        <v>90580</v>
      </c>
      <c r="W433" t="s">
        <v>73</v>
      </c>
      <c r="X433" t="s">
        <v>83</v>
      </c>
      <c r="Y433" t="s">
        <v>44</v>
      </c>
      <c r="Z433">
        <v>3</v>
      </c>
    </row>
    <row r="434" spans="1:26" x14ac:dyDescent="0.2">
      <c r="A434">
        <v>3859</v>
      </c>
      <c r="B434" t="s">
        <v>1985</v>
      </c>
      <c r="C43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t="s">
        <v>61</v>
      </c>
      <c r="J434" t="s">
        <v>32</v>
      </c>
      <c r="K434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 s="3">
        <v>70282</v>
      </c>
      <c r="W434" t="s">
        <v>55</v>
      </c>
      <c r="X434" t="s">
        <v>83</v>
      </c>
      <c r="Y434" t="s">
        <v>739</v>
      </c>
      <c r="Z434">
        <v>3</v>
      </c>
    </row>
    <row r="435" spans="1:26" x14ac:dyDescent="0.2">
      <c r="A435">
        <v>3860</v>
      </c>
      <c r="B435" t="s">
        <v>1990</v>
      </c>
      <c r="C435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t="s">
        <v>117</v>
      </c>
      <c r="J435" t="s">
        <v>32</v>
      </c>
      <c r="K43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 s="3">
        <v>86329</v>
      </c>
      <c r="W435" t="s">
        <v>127</v>
      </c>
      <c r="X435" t="s">
        <v>74</v>
      </c>
      <c r="Y435" t="s">
        <v>44</v>
      </c>
      <c r="Z435">
        <v>3</v>
      </c>
    </row>
    <row r="436" spans="1:26" x14ac:dyDescent="0.2">
      <c r="A436">
        <v>3861</v>
      </c>
      <c r="B436" t="s">
        <v>1995</v>
      </c>
      <c r="C436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 s="3">
        <v>70757</v>
      </c>
      <c r="W436" t="s">
        <v>73</v>
      </c>
      <c r="X436" t="s">
        <v>43</v>
      </c>
      <c r="Y436" t="s">
        <v>739</v>
      </c>
      <c r="Z436">
        <v>3</v>
      </c>
    </row>
    <row r="437" spans="1:26" x14ac:dyDescent="0.2">
      <c r="A437">
        <v>3862</v>
      </c>
      <c r="B437" t="s">
        <v>1999</v>
      </c>
      <c r="C437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t="s">
        <v>88</v>
      </c>
      <c r="J437" t="s">
        <v>1804</v>
      </c>
      <c r="K437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 s="3">
        <v>58224</v>
      </c>
      <c r="W437" t="s">
        <v>42</v>
      </c>
      <c r="X437" t="s">
        <v>83</v>
      </c>
      <c r="Y437" t="s">
        <v>739</v>
      </c>
      <c r="Z437">
        <v>3</v>
      </c>
    </row>
    <row r="438" spans="1:26" x14ac:dyDescent="0.2">
      <c r="A438">
        <v>3863</v>
      </c>
      <c r="B438" t="s">
        <v>455</v>
      </c>
      <c r="C438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 s="3">
        <v>38413</v>
      </c>
      <c r="W438" t="s">
        <v>73</v>
      </c>
      <c r="X438" t="s">
        <v>74</v>
      </c>
      <c r="Y438" t="s">
        <v>739</v>
      </c>
      <c r="Z438">
        <v>3</v>
      </c>
    </row>
    <row r="439" spans="1:26" x14ac:dyDescent="0.2">
      <c r="A439">
        <v>3864</v>
      </c>
      <c r="B439" t="s">
        <v>2006</v>
      </c>
      <c r="C439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t="s">
        <v>132</v>
      </c>
      <c r="J439" t="s">
        <v>1804</v>
      </c>
      <c r="K439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 s="3">
        <v>32977</v>
      </c>
      <c r="W439" t="s">
        <v>73</v>
      </c>
      <c r="X439" t="s">
        <v>83</v>
      </c>
      <c r="Y439" t="s">
        <v>235</v>
      </c>
      <c r="Z439">
        <v>3</v>
      </c>
    </row>
    <row r="440" spans="1:26" x14ac:dyDescent="0.2">
      <c r="A440">
        <v>3865</v>
      </c>
      <c r="B440" t="s">
        <v>1877</v>
      </c>
      <c r="C440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t="s">
        <v>138</v>
      </c>
      <c r="J440" t="s">
        <v>32</v>
      </c>
      <c r="K440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 s="3">
        <v>9209</v>
      </c>
      <c r="W440" t="s">
        <v>127</v>
      </c>
      <c r="X440" t="s">
        <v>74</v>
      </c>
      <c r="Y440" t="s">
        <v>235</v>
      </c>
      <c r="Z440">
        <v>3</v>
      </c>
    </row>
    <row r="441" spans="1:26" x14ac:dyDescent="0.2">
      <c r="A441">
        <v>3866</v>
      </c>
      <c r="B441" t="s">
        <v>2015</v>
      </c>
      <c r="C441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t="s">
        <v>79</v>
      </c>
      <c r="J441" t="s">
        <v>32</v>
      </c>
      <c r="K441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 s="3">
        <v>58737</v>
      </c>
      <c r="W441" t="s">
        <v>73</v>
      </c>
      <c r="X441" t="s">
        <v>103</v>
      </c>
      <c r="Y441" t="s">
        <v>44</v>
      </c>
      <c r="Z441">
        <v>3</v>
      </c>
    </row>
    <row r="442" spans="1:26" x14ac:dyDescent="0.2">
      <c r="A442">
        <v>3867</v>
      </c>
      <c r="B442" t="s">
        <v>2020</v>
      </c>
      <c r="C442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 s="3">
        <v>5363</v>
      </c>
      <c r="W442" t="s">
        <v>73</v>
      </c>
      <c r="X442" t="s">
        <v>43</v>
      </c>
      <c r="Y442" t="s">
        <v>44</v>
      </c>
      <c r="Z442">
        <v>3</v>
      </c>
    </row>
    <row r="443" spans="1:26" x14ac:dyDescent="0.2">
      <c r="A443">
        <v>3868</v>
      </c>
      <c r="B443" t="s">
        <v>2023</v>
      </c>
      <c r="C44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 s="3">
        <v>51175</v>
      </c>
      <c r="W443" t="s">
        <v>55</v>
      </c>
      <c r="X443" t="s">
        <v>43</v>
      </c>
      <c r="Y443" t="s">
        <v>44</v>
      </c>
      <c r="Z443">
        <v>3</v>
      </c>
    </row>
    <row r="444" spans="1:26" x14ac:dyDescent="0.2">
      <c r="A444">
        <v>3869</v>
      </c>
      <c r="B444" t="s">
        <v>2027</v>
      </c>
      <c r="C44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t="s">
        <v>117</v>
      </c>
      <c r="J444" t="s">
        <v>32</v>
      </c>
      <c r="K444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 s="3">
        <v>49132</v>
      </c>
      <c r="W444" t="s">
        <v>55</v>
      </c>
      <c r="X444" t="s">
        <v>103</v>
      </c>
      <c r="Y444" t="s">
        <v>44</v>
      </c>
      <c r="Z444">
        <v>3</v>
      </c>
    </row>
    <row r="445" spans="1:26" x14ac:dyDescent="0.2">
      <c r="A445">
        <v>3870</v>
      </c>
      <c r="B445" t="s">
        <v>2032</v>
      </c>
      <c r="C445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t="s">
        <v>61</v>
      </c>
      <c r="J445" t="s">
        <v>32</v>
      </c>
      <c r="K44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 s="3">
        <v>64853</v>
      </c>
      <c r="W445" t="s">
        <v>127</v>
      </c>
      <c r="X445" t="s">
        <v>74</v>
      </c>
      <c r="Y445" t="s">
        <v>44</v>
      </c>
      <c r="Z445">
        <v>3</v>
      </c>
    </row>
    <row r="446" spans="1:26" x14ac:dyDescent="0.2">
      <c r="A446">
        <v>3871</v>
      </c>
      <c r="B446" t="s">
        <v>2037</v>
      </c>
      <c r="C446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 s="3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">
      <c r="A447">
        <v>3872</v>
      </c>
      <c r="B447" t="s">
        <v>2041</v>
      </c>
      <c r="C447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t="s">
        <v>31</v>
      </c>
      <c r="J447" t="s">
        <v>32</v>
      </c>
      <c r="K447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 s="3">
        <v>48135</v>
      </c>
      <c r="W447" t="s">
        <v>127</v>
      </c>
      <c r="X447" t="s">
        <v>74</v>
      </c>
      <c r="Y447" t="s">
        <v>44</v>
      </c>
      <c r="Z447">
        <v>3</v>
      </c>
    </row>
    <row r="448" spans="1:26" x14ac:dyDescent="0.2">
      <c r="A448">
        <v>3873</v>
      </c>
      <c r="B448" t="s">
        <v>2046</v>
      </c>
      <c r="C448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t="s">
        <v>117</v>
      </c>
      <c r="J448" t="s">
        <v>32</v>
      </c>
      <c r="K448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 s="3">
        <v>41066</v>
      </c>
      <c r="W448" t="s">
        <v>55</v>
      </c>
      <c r="X448" t="s">
        <v>43</v>
      </c>
      <c r="Y448" t="s">
        <v>44</v>
      </c>
      <c r="Z448">
        <v>3</v>
      </c>
    </row>
    <row r="449" spans="1:26" x14ac:dyDescent="0.2">
      <c r="A449">
        <v>3874</v>
      </c>
      <c r="B449" t="s">
        <v>428</v>
      </c>
      <c r="C449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 s="3">
        <v>28613</v>
      </c>
      <c r="W449" t="s">
        <v>55</v>
      </c>
      <c r="X449" t="s">
        <v>83</v>
      </c>
      <c r="Y449" t="s">
        <v>44</v>
      </c>
      <c r="Z449">
        <v>3</v>
      </c>
    </row>
    <row r="450" spans="1:26" x14ac:dyDescent="0.2">
      <c r="A450">
        <v>3875</v>
      </c>
      <c r="B450" t="s">
        <v>2054</v>
      </c>
      <c r="C450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 s="3">
        <v>81215</v>
      </c>
      <c r="W450" t="s">
        <v>127</v>
      </c>
      <c r="X450" t="s">
        <v>103</v>
      </c>
      <c r="Y450" t="s">
        <v>44</v>
      </c>
      <c r="Z450">
        <v>3</v>
      </c>
    </row>
    <row r="451" spans="1:26" x14ac:dyDescent="0.2">
      <c r="A451">
        <v>3876</v>
      </c>
      <c r="B451" t="s">
        <v>2058</v>
      </c>
      <c r="C451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 s="3">
        <v>70578</v>
      </c>
      <c r="W451" t="s">
        <v>55</v>
      </c>
      <c r="X451" t="s">
        <v>74</v>
      </c>
      <c r="Y451" t="s">
        <v>739</v>
      </c>
      <c r="Z451">
        <v>3</v>
      </c>
    </row>
    <row r="452" spans="1:26" x14ac:dyDescent="0.2">
      <c r="A452">
        <v>3877</v>
      </c>
      <c r="B452" t="s">
        <v>2062</v>
      </c>
      <c r="C452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t="s">
        <v>138</v>
      </c>
      <c r="J452" t="s">
        <v>32</v>
      </c>
      <c r="K452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 s="3">
        <v>81607</v>
      </c>
      <c r="W452" t="s">
        <v>127</v>
      </c>
      <c r="X452" t="s">
        <v>74</v>
      </c>
      <c r="Y452" t="s">
        <v>739</v>
      </c>
      <c r="Z452">
        <v>3</v>
      </c>
    </row>
    <row r="453" spans="1:26" x14ac:dyDescent="0.2">
      <c r="A453">
        <v>3878</v>
      </c>
      <c r="B453" t="s">
        <v>227</v>
      </c>
      <c r="C45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t="s">
        <v>79</v>
      </c>
      <c r="J453" t="s">
        <v>32</v>
      </c>
      <c r="K453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 s="3">
        <v>69536</v>
      </c>
      <c r="W453" t="s">
        <v>73</v>
      </c>
      <c r="X453" t="s">
        <v>103</v>
      </c>
      <c r="Y453" t="s">
        <v>44</v>
      </c>
      <c r="Z453">
        <v>3</v>
      </c>
    </row>
    <row r="454" spans="1:26" x14ac:dyDescent="0.2">
      <c r="A454">
        <v>3879</v>
      </c>
      <c r="B454" t="s">
        <v>2070</v>
      </c>
      <c r="C45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t="s">
        <v>167</v>
      </c>
      <c r="J454" t="s">
        <v>32</v>
      </c>
      <c r="K454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 s="3">
        <v>16655</v>
      </c>
      <c r="W454" t="s">
        <v>55</v>
      </c>
      <c r="X454" t="s">
        <v>83</v>
      </c>
      <c r="Y454" t="s">
        <v>44</v>
      </c>
      <c r="Z454">
        <v>3</v>
      </c>
    </row>
    <row r="455" spans="1:26" x14ac:dyDescent="0.2">
      <c r="A455">
        <v>3880</v>
      </c>
      <c r="B455" t="s">
        <v>2075</v>
      </c>
      <c r="C455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t="s">
        <v>97</v>
      </c>
      <c r="J455" t="s">
        <v>32</v>
      </c>
      <c r="K45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 s="3">
        <v>73726</v>
      </c>
      <c r="W455" t="s">
        <v>92</v>
      </c>
      <c r="X455" t="s">
        <v>74</v>
      </c>
      <c r="Y455" t="s">
        <v>44</v>
      </c>
      <c r="Z455">
        <v>3</v>
      </c>
    </row>
    <row r="456" spans="1:26" x14ac:dyDescent="0.2">
      <c r="A456">
        <v>3881</v>
      </c>
      <c r="B456" t="s">
        <v>2080</v>
      </c>
      <c r="C456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 s="3">
        <v>14181</v>
      </c>
      <c r="W456" t="s">
        <v>73</v>
      </c>
      <c r="X456" t="s">
        <v>103</v>
      </c>
      <c r="Y456" t="s">
        <v>44</v>
      </c>
      <c r="Z456">
        <v>3</v>
      </c>
    </row>
    <row r="457" spans="1:26" x14ac:dyDescent="0.2">
      <c r="A457">
        <v>3882</v>
      </c>
      <c r="B457" t="s">
        <v>2084</v>
      </c>
      <c r="C457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 s="3">
        <v>14438</v>
      </c>
      <c r="W457" t="s">
        <v>127</v>
      </c>
      <c r="X457" t="s">
        <v>83</v>
      </c>
      <c r="Y457" t="s">
        <v>44</v>
      </c>
      <c r="Z457">
        <v>3</v>
      </c>
    </row>
    <row r="458" spans="1:26" x14ac:dyDescent="0.2">
      <c r="A458">
        <v>3883</v>
      </c>
      <c r="B458" t="s">
        <v>2088</v>
      </c>
      <c r="C458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t="s">
        <v>88</v>
      </c>
      <c r="J458" t="s">
        <v>32</v>
      </c>
      <c r="K458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 s="3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">
      <c r="A459">
        <v>3884</v>
      </c>
      <c r="B459" t="s">
        <v>2092</v>
      </c>
      <c r="C459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 s="3">
        <v>96985</v>
      </c>
      <c r="W459" t="s">
        <v>92</v>
      </c>
      <c r="X459" t="s">
        <v>43</v>
      </c>
      <c r="Y459" t="s">
        <v>44</v>
      </c>
      <c r="Z459">
        <v>3</v>
      </c>
    </row>
    <row r="460" spans="1:26" x14ac:dyDescent="0.2">
      <c r="A460">
        <v>3885</v>
      </c>
      <c r="B460" t="s">
        <v>2096</v>
      </c>
      <c r="C460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 s="3">
        <v>93436</v>
      </c>
      <c r="W460" t="s">
        <v>92</v>
      </c>
      <c r="X460" t="s">
        <v>74</v>
      </c>
      <c r="Y460" t="s">
        <v>44</v>
      </c>
      <c r="Z460">
        <v>3</v>
      </c>
    </row>
    <row r="461" spans="1:26" x14ac:dyDescent="0.2">
      <c r="A461">
        <v>3886</v>
      </c>
      <c r="B461" t="s">
        <v>2100</v>
      </c>
      <c r="C461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 s="3">
        <v>42646</v>
      </c>
      <c r="W461" t="s">
        <v>73</v>
      </c>
      <c r="X461" t="s">
        <v>74</v>
      </c>
      <c r="Y461" t="s">
        <v>44</v>
      </c>
      <c r="Z461">
        <v>3</v>
      </c>
    </row>
    <row r="462" spans="1:26" x14ac:dyDescent="0.2">
      <c r="A462">
        <v>3887</v>
      </c>
      <c r="B462" t="s">
        <v>2104</v>
      </c>
      <c r="C462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t="s">
        <v>117</v>
      </c>
      <c r="J462" t="s">
        <v>1804</v>
      </c>
      <c r="K462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 s="3">
        <v>54502</v>
      </c>
      <c r="W462" t="s">
        <v>42</v>
      </c>
      <c r="X462" t="s">
        <v>103</v>
      </c>
      <c r="Y462" t="s">
        <v>104</v>
      </c>
      <c r="Z462">
        <v>3</v>
      </c>
    </row>
    <row r="463" spans="1:26" x14ac:dyDescent="0.2">
      <c r="A463">
        <v>3888</v>
      </c>
      <c r="B463" t="s">
        <v>2109</v>
      </c>
      <c r="C46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t="s">
        <v>61</v>
      </c>
      <c r="J463" t="s">
        <v>1804</v>
      </c>
      <c r="K463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 s="3">
        <v>88391</v>
      </c>
      <c r="W463" t="s">
        <v>73</v>
      </c>
      <c r="X463" t="s">
        <v>103</v>
      </c>
      <c r="Y463" t="s">
        <v>44</v>
      </c>
      <c r="Z463">
        <v>3</v>
      </c>
    </row>
    <row r="464" spans="1:26" x14ac:dyDescent="0.2">
      <c r="A464">
        <v>3889</v>
      </c>
      <c r="B464" t="s">
        <v>2113</v>
      </c>
      <c r="C46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t="s">
        <v>79</v>
      </c>
      <c r="J464" t="s">
        <v>32</v>
      </c>
      <c r="K464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 s="3">
        <v>26421</v>
      </c>
      <c r="W464" t="s">
        <v>92</v>
      </c>
      <c r="X464" t="s">
        <v>74</v>
      </c>
      <c r="Y464" t="s">
        <v>44</v>
      </c>
      <c r="Z464">
        <v>3</v>
      </c>
    </row>
    <row r="465" spans="1:26" x14ac:dyDescent="0.2">
      <c r="A465">
        <v>3890</v>
      </c>
      <c r="B465" t="s">
        <v>2117</v>
      </c>
      <c r="C465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t="s">
        <v>97</v>
      </c>
      <c r="J465" t="s">
        <v>32</v>
      </c>
      <c r="K46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 s="3">
        <v>85660</v>
      </c>
      <c r="W465" t="s">
        <v>127</v>
      </c>
      <c r="X465" t="s">
        <v>103</v>
      </c>
      <c r="Y465" t="s">
        <v>44</v>
      </c>
      <c r="Z465">
        <v>3</v>
      </c>
    </row>
    <row r="466" spans="1:26" x14ac:dyDescent="0.2">
      <c r="A466">
        <v>3891</v>
      </c>
      <c r="B466" t="s">
        <v>2121</v>
      </c>
      <c r="C466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 s="3">
        <v>60107</v>
      </c>
      <c r="W466" t="s">
        <v>73</v>
      </c>
      <c r="X466" t="s">
        <v>74</v>
      </c>
      <c r="Y466" t="s">
        <v>44</v>
      </c>
      <c r="Z466">
        <v>3</v>
      </c>
    </row>
    <row r="467" spans="1:26" x14ac:dyDescent="0.2">
      <c r="A467">
        <v>3892</v>
      </c>
      <c r="B467" t="s">
        <v>1559</v>
      </c>
      <c r="C467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 s="3">
        <v>60831</v>
      </c>
      <c r="W467" t="s">
        <v>55</v>
      </c>
      <c r="X467" t="s">
        <v>103</v>
      </c>
      <c r="Y467" t="s">
        <v>44</v>
      </c>
      <c r="Z467">
        <v>3</v>
      </c>
    </row>
    <row r="468" spans="1:26" x14ac:dyDescent="0.2">
      <c r="A468">
        <v>3893</v>
      </c>
      <c r="B468" t="s">
        <v>2128</v>
      </c>
      <c r="C468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t="s">
        <v>49</v>
      </c>
      <c r="J468" t="s">
        <v>32</v>
      </c>
      <c r="K468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 s="3">
        <v>68298</v>
      </c>
      <c r="W468" t="s">
        <v>127</v>
      </c>
      <c r="X468" t="s">
        <v>83</v>
      </c>
      <c r="Y468" t="s">
        <v>44</v>
      </c>
      <c r="Z468">
        <v>3</v>
      </c>
    </row>
    <row r="469" spans="1:26" x14ac:dyDescent="0.2">
      <c r="A469">
        <v>3894</v>
      </c>
      <c r="B469" t="s">
        <v>2133</v>
      </c>
      <c r="C469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 s="3">
        <v>72913</v>
      </c>
      <c r="W469" t="s">
        <v>92</v>
      </c>
      <c r="X469" t="s">
        <v>83</v>
      </c>
      <c r="Y469" t="s">
        <v>44</v>
      </c>
      <c r="Z469">
        <v>3</v>
      </c>
    </row>
    <row r="470" spans="1:26" x14ac:dyDescent="0.2">
      <c r="A470">
        <v>3895</v>
      </c>
      <c r="B470" t="s">
        <v>2137</v>
      </c>
      <c r="C470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t="s">
        <v>117</v>
      </c>
      <c r="J470" t="s">
        <v>32</v>
      </c>
      <c r="K470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 s="3">
        <v>3137</v>
      </c>
      <c r="W470" t="s">
        <v>73</v>
      </c>
      <c r="X470" t="s">
        <v>74</v>
      </c>
      <c r="Y470" t="s">
        <v>44</v>
      </c>
      <c r="Z470">
        <v>3</v>
      </c>
    </row>
    <row r="471" spans="1:26" x14ac:dyDescent="0.2">
      <c r="A471">
        <v>3896</v>
      </c>
      <c r="B471" t="s">
        <v>2143</v>
      </c>
      <c r="C471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t="s">
        <v>61</v>
      </c>
      <c r="J471" t="s">
        <v>32</v>
      </c>
      <c r="K471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 s="3">
        <v>2618</v>
      </c>
      <c r="W471" t="s">
        <v>73</v>
      </c>
      <c r="X471" t="s">
        <v>43</v>
      </c>
      <c r="Y471" t="s">
        <v>44</v>
      </c>
      <c r="Z471">
        <v>3</v>
      </c>
    </row>
    <row r="472" spans="1:26" x14ac:dyDescent="0.2">
      <c r="A472">
        <v>3897</v>
      </c>
      <c r="B472" t="s">
        <v>2147</v>
      </c>
      <c r="C472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t="s">
        <v>117</v>
      </c>
      <c r="J472" t="s">
        <v>32</v>
      </c>
      <c r="K472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 s="3">
        <v>84396</v>
      </c>
      <c r="W472" t="s">
        <v>92</v>
      </c>
      <c r="X472" t="s">
        <v>83</v>
      </c>
      <c r="Y472" t="s">
        <v>44</v>
      </c>
      <c r="Z472">
        <v>3</v>
      </c>
    </row>
    <row r="473" spans="1:26" x14ac:dyDescent="0.2">
      <c r="A473">
        <v>3898</v>
      </c>
      <c r="B473" t="s">
        <v>2151</v>
      </c>
      <c r="C47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t="s">
        <v>61</v>
      </c>
      <c r="J473" t="s">
        <v>1804</v>
      </c>
      <c r="K473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 s="3">
        <v>83611</v>
      </c>
      <c r="W473" t="s">
        <v>127</v>
      </c>
      <c r="X473" t="s">
        <v>74</v>
      </c>
      <c r="Y473" t="s">
        <v>44</v>
      </c>
      <c r="Z473">
        <v>3</v>
      </c>
    </row>
    <row r="474" spans="1:26" x14ac:dyDescent="0.2">
      <c r="A474">
        <v>3899</v>
      </c>
      <c r="B474" t="s">
        <v>455</v>
      </c>
      <c r="C47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t="s">
        <v>88</v>
      </c>
      <c r="J474" t="s">
        <v>1804</v>
      </c>
      <c r="K474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 s="3">
        <v>88656</v>
      </c>
      <c r="W474" t="s">
        <v>73</v>
      </c>
      <c r="X474" t="s">
        <v>103</v>
      </c>
      <c r="Y474" t="s">
        <v>44</v>
      </c>
      <c r="Z474">
        <v>3</v>
      </c>
    </row>
    <row r="475" spans="1:26" x14ac:dyDescent="0.2">
      <c r="A475">
        <v>3900</v>
      </c>
      <c r="B475" t="s">
        <v>2159</v>
      </c>
      <c r="C475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 s="3">
        <v>79249</v>
      </c>
      <c r="W475" t="s">
        <v>127</v>
      </c>
      <c r="X475" t="s">
        <v>74</v>
      </c>
      <c r="Y475" t="s">
        <v>44</v>
      </c>
      <c r="Z475">
        <v>3</v>
      </c>
    </row>
    <row r="476" spans="1:26" x14ac:dyDescent="0.2">
      <c r="A476">
        <v>3901</v>
      </c>
      <c r="B476" t="s">
        <v>1548</v>
      </c>
      <c r="C476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 s="3">
        <v>3921</v>
      </c>
      <c r="W476" t="s">
        <v>55</v>
      </c>
      <c r="X476" t="s">
        <v>74</v>
      </c>
      <c r="Y476" t="s">
        <v>44</v>
      </c>
      <c r="Z476">
        <v>3</v>
      </c>
    </row>
    <row r="477" spans="1:26" x14ac:dyDescent="0.2">
      <c r="A477">
        <v>3902</v>
      </c>
      <c r="B477" t="s">
        <v>2165</v>
      </c>
      <c r="C477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t="s">
        <v>138</v>
      </c>
      <c r="J477" t="s">
        <v>32</v>
      </c>
      <c r="K477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 s="3">
        <v>84876</v>
      </c>
      <c r="W477" t="s">
        <v>92</v>
      </c>
      <c r="X477" t="s">
        <v>74</v>
      </c>
      <c r="Y477" t="s">
        <v>44</v>
      </c>
      <c r="Z477">
        <v>3</v>
      </c>
    </row>
    <row r="478" spans="1:26" x14ac:dyDescent="0.2">
      <c r="A478">
        <v>3903</v>
      </c>
      <c r="B478" t="s">
        <v>1668</v>
      </c>
      <c r="C478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 s="3">
        <v>66324</v>
      </c>
      <c r="W478" t="s">
        <v>55</v>
      </c>
      <c r="X478" t="s">
        <v>74</v>
      </c>
      <c r="Y478" t="s">
        <v>44</v>
      </c>
      <c r="Z478">
        <v>3</v>
      </c>
    </row>
    <row r="479" spans="1:26" x14ac:dyDescent="0.2">
      <c r="A479">
        <v>3904</v>
      </c>
      <c r="B479" t="s">
        <v>1861</v>
      </c>
      <c r="C479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 s="3">
        <v>86510</v>
      </c>
      <c r="W479" t="s">
        <v>127</v>
      </c>
      <c r="X479" t="s">
        <v>43</v>
      </c>
      <c r="Y479" t="s">
        <v>44</v>
      </c>
      <c r="Z479">
        <v>3</v>
      </c>
    </row>
    <row r="480" spans="1:26" x14ac:dyDescent="0.2">
      <c r="A480">
        <v>3905</v>
      </c>
      <c r="B480" t="s">
        <v>2176</v>
      </c>
      <c r="C480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t="s">
        <v>97</v>
      </c>
      <c r="J480" t="s">
        <v>32</v>
      </c>
      <c r="K480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 s="3">
        <v>48843</v>
      </c>
      <c r="W480" t="s">
        <v>92</v>
      </c>
      <c r="X480" t="s">
        <v>43</v>
      </c>
      <c r="Y480" t="s">
        <v>44</v>
      </c>
      <c r="Z480">
        <v>3</v>
      </c>
    </row>
    <row r="481" spans="1:26" x14ac:dyDescent="0.2">
      <c r="A481">
        <v>3906</v>
      </c>
      <c r="B481" t="s">
        <v>2181</v>
      </c>
      <c r="C481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 s="3">
        <v>70797</v>
      </c>
      <c r="W481" t="s">
        <v>73</v>
      </c>
      <c r="X481" t="s">
        <v>83</v>
      </c>
      <c r="Y481" t="s">
        <v>44</v>
      </c>
      <c r="Z481">
        <v>3</v>
      </c>
    </row>
    <row r="482" spans="1:26" x14ac:dyDescent="0.2">
      <c r="A482">
        <v>3907</v>
      </c>
      <c r="B482" t="s">
        <v>2185</v>
      </c>
      <c r="C482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 s="3">
        <v>6437</v>
      </c>
      <c r="W482" t="s">
        <v>42</v>
      </c>
      <c r="X482" t="s">
        <v>83</v>
      </c>
      <c r="Y482" t="s">
        <v>44</v>
      </c>
      <c r="Z482">
        <v>3</v>
      </c>
    </row>
    <row r="483" spans="1:26" x14ac:dyDescent="0.2">
      <c r="A483">
        <v>3908</v>
      </c>
      <c r="B483" t="s">
        <v>2189</v>
      </c>
      <c r="C48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t="s">
        <v>88</v>
      </c>
      <c r="J483" t="s">
        <v>32</v>
      </c>
      <c r="K483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 s="3">
        <v>92289</v>
      </c>
      <c r="W483" t="s">
        <v>92</v>
      </c>
      <c r="X483" t="s">
        <v>83</v>
      </c>
      <c r="Y483" t="s">
        <v>235</v>
      </c>
      <c r="Z483">
        <v>3</v>
      </c>
    </row>
    <row r="484" spans="1:26" x14ac:dyDescent="0.2">
      <c r="A484">
        <v>3909</v>
      </c>
      <c r="B484" t="s">
        <v>2194</v>
      </c>
      <c r="C48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 s="3">
        <v>58900</v>
      </c>
      <c r="W484" t="s">
        <v>73</v>
      </c>
      <c r="X484" t="s">
        <v>83</v>
      </c>
      <c r="Y484" t="s">
        <v>235</v>
      </c>
      <c r="Z484">
        <v>3</v>
      </c>
    </row>
    <row r="485" spans="1:26" x14ac:dyDescent="0.2">
      <c r="A485">
        <v>3910</v>
      </c>
      <c r="B485" t="s">
        <v>2198</v>
      </c>
      <c r="C485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t="s">
        <v>97</v>
      </c>
      <c r="J485" t="s">
        <v>32</v>
      </c>
      <c r="K48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 s="3">
        <v>35673</v>
      </c>
      <c r="W485" t="s">
        <v>42</v>
      </c>
      <c r="X485" t="s">
        <v>43</v>
      </c>
      <c r="Y485" t="s">
        <v>235</v>
      </c>
      <c r="Z485">
        <v>3</v>
      </c>
    </row>
    <row r="486" spans="1:26" x14ac:dyDescent="0.2">
      <c r="A486">
        <v>3911</v>
      </c>
      <c r="B486" t="s">
        <v>2203</v>
      </c>
      <c r="C486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 s="3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">
      <c r="A487">
        <v>3912</v>
      </c>
      <c r="B487" t="s">
        <v>877</v>
      </c>
      <c r="C487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t="s">
        <v>61</v>
      </c>
      <c r="J487" t="s">
        <v>1804</v>
      </c>
      <c r="K487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 s="3">
        <v>97493</v>
      </c>
      <c r="W487" t="s">
        <v>55</v>
      </c>
      <c r="X487" t="s">
        <v>43</v>
      </c>
      <c r="Y487" t="s">
        <v>235</v>
      </c>
      <c r="Z487">
        <v>3</v>
      </c>
    </row>
    <row r="488" spans="1:26" x14ac:dyDescent="0.2">
      <c r="A488">
        <v>3913</v>
      </c>
      <c r="B488" t="s">
        <v>1606</v>
      </c>
      <c r="C488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t="s">
        <v>88</v>
      </c>
      <c r="J488" t="s">
        <v>1804</v>
      </c>
      <c r="K488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 s="3">
        <v>69903</v>
      </c>
      <c r="W488" t="s">
        <v>42</v>
      </c>
      <c r="X488" t="s">
        <v>83</v>
      </c>
      <c r="Y488" t="s">
        <v>44</v>
      </c>
      <c r="Z488">
        <v>3</v>
      </c>
    </row>
    <row r="489" spans="1:26" x14ac:dyDescent="0.2">
      <c r="A489">
        <v>3914</v>
      </c>
      <c r="B489" t="s">
        <v>2214</v>
      </c>
      <c r="C489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t="s">
        <v>132</v>
      </c>
      <c r="J489" t="s">
        <v>32</v>
      </c>
      <c r="K489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 s="3">
        <v>9758</v>
      </c>
      <c r="W489" t="s">
        <v>73</v>
      </c>
      <c r="X489" t="s">
        <v>74</v>
      </c>
      <c r="Y489" t="s">
        <v>104</v>
      </c>
      <c r="Z489">
        <v>3</v>
      </c>
    </row>
    <row r="490" spans="1:26" x14ac:dyDescent="0.2">
      <c r="A490">
        <v>3915</v>
      </c>
      <c r="B490" t="s">
        <v>2219</v>
      </c>
      <c r="C490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 s="3">
        <v>31391</v>
      </c>
      <c r="W490" t="s">
        <v>73</v>
      </c>
      <c r="X490" t="s">
        <v>43</v>
      </c>
      <c r="Y490" t="s">
        <v>44</v>
      </c>
      <c r="Z490">
        <v>3</v>
      </c>
    </row>
    <row r="491" spans="1:26" x14ac:dyDescent="0.2">
      <c r="A491">
        <v>3916</v>
      </c>
      <c r="B491" t="s">
        <v>2223</v>
      </c>
      <c r="C491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 s="3">
        <v>14939</v>
      </c>
      <c r="W491" t="s">
        <v>73</v>
      </c>
      <c r="X491" t="s">
        <v>43</v>
      </c>
      <c r="Y491" t="s">
        <v>44</v>
      </c>
      <c r="Z491">
        <v>3</v>
      </c>
    </row>
    <row r="492" spans="1:26" x14ac:dyDescent="0.2">
      <c r="A492">
        <v>3917</v>
      </c>
      <c r="B492" t="s">
        <v>2226</v>
      </c>
      <c r="C492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t="s">
        <v>167</v>
      </c>
      <c r="J492" t="s">
        <v>32</v>
      </c>
      <c r="K492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 s="3">
        <v>89635</v>
      </c>
      <c r="W492" t="s">
        <v>92</v>
      </c>
      <c r="X492" t="s">
        <v>43</v>
      </c>
      <c r="Y492" t="s">
        <v>104</v>
      </c>
      <c r="Z492">
        <v>3</v>
      </c>
    </row>
    <row r="493" spans="1:26" x14ac:dyDescent="0.2">
      <c r="A493">
        <v>3918</v>
      </c>
      <c r="B493" t="s">
        <v>2137</v>
      </c>
      <c r="C49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t="s">
        <v>97</v>
      </c>
      <c r="J493" t="s">
        <v>32</v>
      </c>
      <c r="K493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 s="3">
        <v>48262</v>
      </c>
      <c r="W493" t="s">
        <v>127</v>
      </c>
      <c r="X493" t="s">
        <v>43</v>
      </c>
      <c r="Y493" t="s">
        <v>44</v>
      </c>
      <c r="Z493">
        <v>3</v>
      </c>
    </row>
    <row r="494" spans="1:26" x14ac:dyDescent="0.2">
      <c r="A494">
        <v>3919</v>
      </c>
      <c r="B494" t="s">
        <v>2234</v>
      </c>
      <c r="C49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 s="3">
        <v>42410</v>
      </c>
      <c r="W494" t="s">
        <v>127</v>
      </c>
      <c r="X494" t="s">
        <v>103</v>
      </c>
      <c r="Y494" t="s">
        <v>44</v>
      </c>
      <c r="Z494">
        <v>3</v>
      </c>
    </row>
    <row r="495" spans="1:26" x14ac:dyDescent="0.2">
      <c r="A495">
        <v>3920</v>
      </c>
      <c r="B495" t="s">
        <v>1053</v>
      </c>
      <c r="C495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t="s">
        <v>61</v>
      </c>
      <c r="J495" t="s">
        <v>32</v>
      </c>
      <c r="K49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 s="3">
        <v>62625</v>
      </c>
      <c r="W495" t="s">
        <v>73</v>
      </c>
      <c r="X495" t="s">
        <v>103</v>
      </c>
      <c r="Y495" t="s">
        <v>44</v>
      </c>
      <c r="Z495">
        <v>3</v>
      </c>
    </row>
    <row r="496" spans="1:26" x14ac:dyDescent="0.2">
      <c r="A496">
        <v>3921</v>
      </c>
      <c r="B496" t="s">
        <v>2241</v>
      </c>
      <c r="C496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t="s">
        <v>88</v>
      </c>
      <c r="J496" t="s">
        <v>32</v>
      </c>
      <c r="K49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 s="3">
        <v>56684</v>
      </c>
      <c r="W496" t="s">
        <v>73</v>
      </c>
      <c r="X496" t="s">
        <v>83</v>
      </c>
      <c r="Y496" t="s">
        <v>44</v>
      </c>
      <c r="Z496">
        <v>3</v>
      </c>
    </row>
    <row r="497" spans="1:26" x14ac:dyDescent="0.2">
      <c r="A497">
        <v>3922</v>
      </c>
      <c r="B497" t="s">
        <v>1653</v>
      </c>
      <c r="C497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 s="3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">
      <c r="A498">
        <v>3923</v>
      </c>
      <c r="B498" t="s">
        <v>1593</v>
      </c>
      <c r="C498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t="s">
        <v>97</v>
      </c>
      <c r="J498" t="s">
        <v>32</v>
      </c>
      <c r="K498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 s="3">
        <v>26918</v>
      </c>
      <c r="W498" t="s">
        <v>55</v>
      </c>
      <c r="X498" t="s">
        <v>74</v>
      </c>
      <c r="Y498" t="s">
        <v>104</v>
      </c>
      <c r="Z498">
        <v>3</v>
      </c>
    </row>
    <row r="499" spans="1:26" x14ac:dyDescent="0.2">
      <c r="A499">
        <v>3924</v>
      </c>
      <c r="B499" t="s">
        <v>2252</v>
      </c>
      <c r="C499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 s="3">
        <v>86917</v>
      </c>
      <c r="W499" t="s">
        <v>73</v>
      </c>
      <c r="X499" t="s">
        <v>43</v>
      </c>
      <c r="Y499" t="s">
        <v>44</v>
      </c>
      <c r="Z499">
        <v>3</v>
      </c>
    </row>
    <row r="500" spans="1:26" x14ac:dyDescent="0.2">
      <c r="A500">
        <v>3925</v>
      </c>
      <c r="B500" t="s">
        <v>788</v>
      </c>
      <c r="C500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t="s">
        <v>61</v>
      </c>
      <c r="J500" t="s">
        <v>1804</v>
      </c>
      <c r="K500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 s="3">
        <v>64495</v>
      </c>
      <c r="W500" t="s">
        <v>55</v>
      </c>
      <c r="X500" t="s">
        <v>43</v>
      </c>
      <c r="Y500" t="s">
        <v>44</v>
      </c>
      <c r="Z500">
        <v>3</v>
      </c>
    </row>
    <row r="501" spans="1:26" x14ac:dyDescent="0.2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 s="3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6" x14ac:dyDescent="0.2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 s="3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6" x14ac:dyDescent="0.2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 s="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 s="3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6" x14ac:dyDescent="0.2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 s="3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6" x14ac:dyDescent="0.2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 s="3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6" x14ac:dyDescent="0.2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 s="3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6" x14ac:dyDescent="0.2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 s="3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6" x14ac:dyDescent="0.2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 s="3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6" x14ac:dyDescent="0.2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 s="3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 s="3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6" x14ac:dyDescent="0.2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 s="3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 s="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2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 s="3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2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 s="3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2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 s="3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2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 s="3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2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 s="3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2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 s="3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2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 s="3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2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 s="3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2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 s="3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2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 s="3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2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 s="3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2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 s="3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2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 s="3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2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 s="3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2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 s="3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2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 s="3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2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 s="3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2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 s="3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2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 s="3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2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 s="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2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 s="3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2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 s="3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2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 s="3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2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 s="3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2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 s="3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2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 s="3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2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 s="3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2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 s="3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2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 s="3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2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 s="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2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 s="3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2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 s="3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2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 s="3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2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 s="3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2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 s="3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2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 s="3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2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 s="3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2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 s="3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2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 s="3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2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 s="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2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 s="3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2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 s="3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2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 s="3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2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 s="3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2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 s="3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2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 s="3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2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 s="3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 s="3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2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 s="3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2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 s="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 s="3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2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 s="3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2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 s="3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2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 s="3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2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 s="3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2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 s="3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2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 s="3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2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 s="3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 s="3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2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 s="3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2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 s="3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2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 s="3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2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 s="3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2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 s="3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2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 s="3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2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 s="3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2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 s="3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2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 s="3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 s="3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2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 s="3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2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 s="3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2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 s="3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2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 s="3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2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 s="3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2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 s="3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2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 s="3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2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 s="3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2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 s="3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2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 s="3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2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 s="3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2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 s="3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2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 s="3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2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 s="3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2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 s="3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2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 s="3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2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 s="3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2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 s="3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2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 s="3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2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 s="3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2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 s="3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2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 s="3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2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 s="3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2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 s="3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 s="3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2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 s="3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2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 s="3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2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 s="3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2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 s="3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2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 s="3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2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 s="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2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 s="3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2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 s="3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2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 s="3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2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 s="3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2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 s="3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2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 s="3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2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 s="3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2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 s="3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2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 s="3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2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 s="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2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 s="3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2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 s="3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2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 s="3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2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 s="3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2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 s="3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2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 s="3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2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 s="3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 s="3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2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 s="3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2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 s="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2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 s="3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2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 s="3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2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 s="3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2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 s="3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2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 s="3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2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 s="3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2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 s="3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2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 s="3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2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 s="3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2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 s="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2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 s="3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2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 s="3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2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 s="3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2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 s="3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2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 s="3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2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 s="3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2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 s="3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2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 s="3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 s="3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2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 s="3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2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 s="3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2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 s="3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2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 s="3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2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 s="3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2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 s="3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2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 s="3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2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 s="3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2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 s="3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2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 s="3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2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 s="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 s="3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2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 s="3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2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 s="3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2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 s="3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2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 s="3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2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 s="3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2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 s="3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2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 s="3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2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 s="3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2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 s="3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2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 s="3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2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 s="3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2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 s="3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 s="3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2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 s="3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2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 s="3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2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 s="3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2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 s="3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2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 s="3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2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 s="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2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 s="3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2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 s="3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2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 s="3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 s="3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2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 s="3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2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 s="3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2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 s="3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2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 s="3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2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 s="3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2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 s="3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2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 s="3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2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 s="3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2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 s="3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2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 s="3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2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 s="3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2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 s="3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2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 s="3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2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 s="3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2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 s="3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2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 s="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2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 s="3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2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 s="3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2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 s="3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2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 s="3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2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 s="3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2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 s="3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2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 s="3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2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 s="3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2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 s="3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2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 s="3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2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 s="3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2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 s="3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2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 s="3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2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 s="3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2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 s="3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2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 s="3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2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 s="3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2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 s="3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2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 s="3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2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 s="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2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 s="3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2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 s="3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2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 s="3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2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 s="3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2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 s="3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2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 s="3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2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 s="3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2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 s="3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2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 s="3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2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 s="3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2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 s="3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2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 s="3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2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 s="3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2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 s="3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2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 s="3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2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 s="3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2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 s="3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2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 s="3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2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 s="3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2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 s="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2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 s="3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2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 s="3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2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 s="3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2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 s="3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2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 s="3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 s="3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2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 s="3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2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 s="3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2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 s="3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2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 s="3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2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 s="3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2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 s="3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2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 s="3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2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 s="3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2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 s="3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2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 s="3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2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 s="3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2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 s="3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2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 s="3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2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 s="3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2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 s="3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2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 s="3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2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 s="3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2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 s="3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2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 s="3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2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 s="3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2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 s="3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2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 s="3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2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 s="3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2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 s="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2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 s="3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 s="3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2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 s="3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2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 s="3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 s="3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2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 s="3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2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 s="3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2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 s="3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2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 s="3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2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 s="3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2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 s="3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2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 s="3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2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 s="3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2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 s="3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2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 s="3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2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 s="3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2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 s="3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2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 s="3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2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 s="3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2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 s="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2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 s="3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2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 s="3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2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 s="3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2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 s="3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2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 s="3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2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 s="3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2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 s="3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2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 s="3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2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 s="3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2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 s="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2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 s="3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2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 s="3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2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 s="3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2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 s="3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2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 s="3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2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 s="3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2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 s="3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2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 s="3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2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 s="3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2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 s="3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2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 s="3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2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 s="3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2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 s="3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2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 s="3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2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 s="3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 s="3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2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 s="3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 s="3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2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 s="3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2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 s="3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2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 s="3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2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 s="3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2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 s="3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2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 s="3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2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 s="3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2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 s="3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2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 s="3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2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 s="3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 s="3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2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 s="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2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 s="3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2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 s="3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2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 s="3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2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 s="3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2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 s="3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2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 s="3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2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 s="3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2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 s="3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2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 s="3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2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 s="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2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 s="3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2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 s="3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2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 s="3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2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 s="3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2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 s="3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2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 s="3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2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 s="3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2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 s="3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2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 s="3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2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 s="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2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 s="3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2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 s="3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2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 s="3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 s="3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2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 s="3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2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 s="3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2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 s="3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2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 s="3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2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 s="3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2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 s="3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2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 s="3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2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 s="3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2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 s="3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2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 s="3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2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 s="3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2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 s="3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2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 s="3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2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 s="3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2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 s="3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2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 s="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2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 s="3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2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 s="3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2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 s="3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2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 s="3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2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 s="3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2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 s="3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2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 s="3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2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 s="3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2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 s="3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2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 s="3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2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 s="3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2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 s="3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2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 s="3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2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 s="3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2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 s="3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2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 s="3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2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 s="3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2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 s="3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2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 s="3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2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 s="3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2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 s="3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2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 s="3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 s="3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2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 s="3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2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 s="3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2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 s="3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2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 s="3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2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 s="3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 s="3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2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 s="3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2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 s="3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2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 s="3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2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 s="3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2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 s="3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2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 s="3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2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 s="3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2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 s="3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2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 s="3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2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 s="3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2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 s="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2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 s="3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2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 s="3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2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 s="3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2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 s="3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2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 s="3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2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 s="3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2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 s="3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2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 s="3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2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 s="3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2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 s="3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2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 s="3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2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 s="3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2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 s="3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2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 s="3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2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 s="3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2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 s="3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2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 s="3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2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 s="3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2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 s="3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2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 s="3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2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 s="3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2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 s="3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2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 s="3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2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 s="3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2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 s="3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2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 s="3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2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 s="3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2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 s="3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2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 s="3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2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 s="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2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 s="3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2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 s="3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2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 s="3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2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 s="3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2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 s="3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2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 s="3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2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 s="3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2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 s="3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2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 s="3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2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 s="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2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 s="3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2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 s="3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2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 s="3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2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 s="3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2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 s="3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2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 s="3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2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 s="3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2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 s="3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2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 s="3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2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 s="3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2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 s="3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2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 s="3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2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 s="3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2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 s="3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2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 s="3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2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 s="3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2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 s="3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2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 s="3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2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 s="3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2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 s="3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2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 s="3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2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 s="3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2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 s="3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2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 s="3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2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 s="3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2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 s="3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2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 s="3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2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 s="3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2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 s="3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2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 s="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2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 s="3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2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 s="3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2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 s="3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2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 s="3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2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 s="3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2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 s="3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2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 s="3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2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 s="3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2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 s="3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2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 s="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2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 s="3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2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 s="3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2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 s="3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2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 s="3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2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 s="3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2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 s="3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2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 s="3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2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 s="3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2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 s="3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2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 s="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2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 s="3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2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 s="3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2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 s="3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2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 s="3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2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 s="3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2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 s="3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2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 s="3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2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 s="3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2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 s="3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2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 s="3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2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 s="3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2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 s="3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2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 s="3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2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 s="3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2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 s="3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2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 s="3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2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 s="3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2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 s="3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2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 s="3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2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 s="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2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 s="3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2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 s="3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2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 s="3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2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 s="3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2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 s="3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2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 s="3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2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 s="3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2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 s="3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2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 s="3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2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 s="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2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 s="3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2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 s="3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2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 s="3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2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 s="3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2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 s="3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2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 s="3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2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 s="3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2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 s="3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2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 s="3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2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 s="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2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 s="3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2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 s="3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2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 s="3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2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 s="3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2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 s="3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2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 s="3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2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 s="3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2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 s="3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2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 s="3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2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 s="3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2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 s="3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2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 s="3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2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 s="3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2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 s="3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2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 s="3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2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 s="3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2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 s="3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2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 s="3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2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 s="3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2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 s="3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2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 s="3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 s="3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2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 s="3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2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 s="3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2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 s="3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2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 s="3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2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 s="3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2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 s="3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 s="3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2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 s="3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2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 s="3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2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 s="3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2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 s="3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2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 s="3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2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 s="3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2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 s="3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2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 s="3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2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 s="3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2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 s="3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2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 s="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2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 s="3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2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 s="3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2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 s="3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2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 s="3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2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 s="3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2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 s="3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2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 s="3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2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 s="3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2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 s="3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2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 s="3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2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 s="3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2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 s="3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2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 s="3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2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 s="3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2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 s="3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2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 s="3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2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 s="3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2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 s="3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2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 s="3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2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 s="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2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 s="3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2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 s="3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2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 s="3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2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 s="3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2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 s="3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2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 s="3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2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 s="3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2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 s="3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2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 s="3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2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 s="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 s="3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2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 s="3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2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 s="3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2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 s="3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2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 s="3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2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 s="3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2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 s="3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2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 s="3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2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 s="3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2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 s="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2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 s="3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2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 s="3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2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 s="3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2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 s="3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2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 s="3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2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 s="3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 s="3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2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 s="3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2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 s="3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2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 s="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2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 s="3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2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 s="3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2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 s="3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2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 s="3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2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 s="3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2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 s="3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2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 s="3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2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 s="3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2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 s="3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2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 s="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2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 s="3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2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 s="3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2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 s="3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2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 s="3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2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 s="3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2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 s="3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2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 s="3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2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 s="3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2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 s="3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2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 s="3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2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 s="3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2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 s="3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2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 s="3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2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 s="3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2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 s="3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2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 s="3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2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 s="3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2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 s="3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2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 s="3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2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 s="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2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 s="3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2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 s="3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2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 s="3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2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 s="3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2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 s="3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2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 s="3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2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 s="3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2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 s="3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2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 s="3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2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 s="3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2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 s="3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2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 s="3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2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 s="3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2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 s="3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2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 s="3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2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 s="3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2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 s="3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2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 s="3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2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 s="3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2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 s="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2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 s="3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2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 s="3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2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 s="3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2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 s="3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2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 s="3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2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 s="3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2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 s="3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2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 s="3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2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 s="3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2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 s="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2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 s="3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2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 s="3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2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 s="3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2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 s="3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2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 s="3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2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 s="3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2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 s="3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2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 s="3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2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 s="3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2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 s="3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2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 s="3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2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 s="3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2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 s="3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 s="3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2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 s="3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2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 s="3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2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 s="3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2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 s="3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2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 s="3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2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 s="3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2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 s="3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2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 s="3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2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 s="3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2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 s="3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2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 s="3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2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 s="3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2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 s="3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2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 s="3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2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 s="3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2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 s="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2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 s="3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2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 s="3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2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 s="3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2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 s="3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2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 s="3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2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 s="3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2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 s="3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2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 s="3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2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 s="3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2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 s="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2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 s="3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2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 s="3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2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 s="3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2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 s="3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2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 s="3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2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 s="3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2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 s="3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2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 s="3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2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 s="3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2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 s="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2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 s="3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2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 s="3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2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 s="3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2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 s="3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2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 s="3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2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 s="3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2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 s="3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2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 s="3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2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 s="3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2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 s="3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2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 s="3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2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 s="3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2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 s="3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2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 s="3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2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 s="3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2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 s="3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2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 s="3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2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 s="3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2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 s="3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 s="3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2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 s="3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2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 s="3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2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 s="3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2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 s="3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2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 s="3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2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 s="3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2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 s="3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2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 s="3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2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 s="3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2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 s="3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2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 s="3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2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 s="3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2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 s="3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2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 s="3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2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 s="3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2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 s="3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2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 s="3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2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 s="3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2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 s="3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2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 s="3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2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 s="3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2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 s="3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2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 s="3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2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 s="3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2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 s="3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2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 s="3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2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 s="3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2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 s="3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2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 s="3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2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 s="3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2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 s="3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2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 s="3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2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 s="3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2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 s="3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2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 s="3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2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 s="3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2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 s="3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2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 s="3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2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 s="3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2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 s="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2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 s="3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2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 s="3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2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 s="3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2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 s="3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2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 s="3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2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 s="3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 s="3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2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 s="3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2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 s="3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2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 s="3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2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 s="3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2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 s="3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2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 s="3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2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 s="3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2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 s="3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2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 s="3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2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 s="3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2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 s="3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2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 s="3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2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 s="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 s="3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2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 s="3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2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 s="3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2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 s="3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2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 s="3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2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 s="3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2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 s="3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2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 s="3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2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 s="3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 s="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2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 s="3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2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 s="3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2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 s="3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2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 s="3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2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 s="3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2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 s="3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2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 s="3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2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 s="3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2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 s="3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2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 s="3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2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 s="3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2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 s="3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2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 s="3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2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 s="3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2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 s="3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2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 s="3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2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 s="3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2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 s="3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2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 s="3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2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 s="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2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 s="3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2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 s="3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2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 s="3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2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 s="3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2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 s="3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 s="3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2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 s="3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 s="3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2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 s="3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2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 s="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2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 s="3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2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 s="3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2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 s="3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2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 s="3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2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 s="3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2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 s="3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 s="3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2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 s="3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2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 s="3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2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 s="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2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 s="3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2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 s="3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2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 s="3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2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 s="3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2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 s="3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2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 s="3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2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 s="3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2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 s="3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2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 s="3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 s="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2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 s="3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2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 s="3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2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 s="3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2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 s="3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2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 s="3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2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 s="3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2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 s="3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2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 s="3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2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 s="3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2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 s="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2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 s="3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2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 s="3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2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 s="3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2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 s="3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2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 s="3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2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 s="3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2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 s="3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2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 s="3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2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 s="3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2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 s="3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2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 s="3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2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 s="3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2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 s="3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2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 s="3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2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 s="3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2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 s="3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2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 s="3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2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 s="3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2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 s="3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2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 s="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2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 s="3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2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 s="3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2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 s="3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2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 s="3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2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 s="3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2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 s="3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2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 s="3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2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 s="3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2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 s="3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2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 s="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2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 s="3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2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 s="3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2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 s="3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2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 s="3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2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 s="3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2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 s="3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2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 s="3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2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 s="3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2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 s="3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2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 s="3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2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 s="3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2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 s="3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2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 s="3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2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 s="3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2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 s="3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2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 s="3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2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 s="3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2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 s="3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2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 s="3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2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 s="3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2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 s="3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2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 s="3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2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 s="3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 s="3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2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 s="3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2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 s="3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2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 s="3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2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 s="3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2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 s="3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2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 s="3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2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 s="3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2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 s="3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2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 s="3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2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 s="3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2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 s="3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2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 s="3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2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 s="3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2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 s="3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2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 s="3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2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 s="3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2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 s="3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2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 s="3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 s="3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2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 s="3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2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 s="3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2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 s="3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2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 s="3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2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 s="3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2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 s="3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2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 s="3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2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 s="3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2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 s="3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2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 s="3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2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 s="3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2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 s="3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2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 s="3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2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 s="3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2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 s="3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2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 s="3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2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 s="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 s="3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 s="3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2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 s="3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2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 s="3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2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 s="3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2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 s="3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2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 s="3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2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 s="3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2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 s="3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2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 s="3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2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 s="3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2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 s="3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2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 s="3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2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 s="3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2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 s="3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2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 s="3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2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 s="3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2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 s="3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2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 s="3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2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 s="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2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 s="3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2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 s="3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2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 s="3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2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 s="3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2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 s="3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2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 s="3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2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 s="3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2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 s="3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2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 s="3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2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 s="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2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 s="3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2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 s="3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2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 s="3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2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 s="3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2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 s="3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 s="3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2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 s="3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2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 s="3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2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 s="3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2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 s="3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2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 s="3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2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 s="3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2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 s="3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2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 s="3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2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 s="3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2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 s="3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2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 s="3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2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 s="3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2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 s="3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2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 s="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2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 s="3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2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 s="3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2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 s="3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2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 s="3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2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 s="3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2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 s="3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2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 s="3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 s="3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2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 s="3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2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 s="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2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 s="3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2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 s="3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2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 s="3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2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 s="3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2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 s="3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2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 s="3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 s="3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2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 s="3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2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 s="3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2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 s="3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2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 s="3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2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 s="3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2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 s="3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2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 s="3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2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 s="3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2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 s="3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2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 s="3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 s="3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2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 s="3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2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 s="3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2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 s="3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2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 s="3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2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 s="3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2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 s="3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2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 s="3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2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 s="3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2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 s="3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2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 s="3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2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 s="3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2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 s="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2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 s="3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2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 s="3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2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 s="3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 s="3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2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 s="3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2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 s="3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2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 s="3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2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 s="3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2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 s="3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2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 s="3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2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 s="3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 s="3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2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 s="3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2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 s="3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2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 s="3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2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 s="3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2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 s="3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 s="3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 s="3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2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 s="3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2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 s="3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 s="3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2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 s="3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2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 s="3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2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 s="3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2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 s="3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2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 s="3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2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 s="3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2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 s="3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2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 s="3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2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 s="3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2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 s="3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2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 s="3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2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 s="3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2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 s="3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2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 s="3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2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 s="3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2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 s="3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2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 s="3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2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 s="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2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 s="3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2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 s="3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2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 s="3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2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 s="3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2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 s="3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2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 s="3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2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 s="3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2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 s="3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2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 s="3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2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 s="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2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 s="3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2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 s="3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 s="3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2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 s="3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2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 s="3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2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 s="3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2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 s="3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2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 s="3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2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 s="3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2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 s="3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2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 s="3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2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 s="3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2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 s="3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2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 s="3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2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 s="3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2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 s="3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2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 s="3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2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 s="3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2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 s="3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2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 s="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2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 s="3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2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 s="3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2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 s="3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 s="3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2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 s="3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2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 s="3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2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 s="3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2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 s="3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2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 s="3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2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 s="3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2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 s="3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2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 s="3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2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 s="3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2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 s="3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2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 s="3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2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 s="3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2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 s="3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2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 s="3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2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 s="3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2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 s="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2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 s="3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2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 s="3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2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 s="3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2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 s="3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2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 s="3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2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 s="3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2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 s="3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2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 s="3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2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 s="3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2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 s="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2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 s="3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2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 s="3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2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 s="3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2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 s="3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2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 s="3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2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 s="3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2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 s="3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2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 s="3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2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 s="3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2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 s="3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2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 s="3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2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 s="3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2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 s="3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2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 s="3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2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 s="3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2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 s="3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2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 s="3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2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 s="3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2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 s="3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2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 s="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2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 s="3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2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 s="3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2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 s="3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2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 s="3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2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 s="3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2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 s="3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2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 s="3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2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 s="3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2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 s="3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2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 s="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2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 s="3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2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 s="3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2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 s="3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2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 s="3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2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 s="3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2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 s="3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2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 s="3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2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 s="3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2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 s="3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2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 s="3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2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 s="3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2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 s="3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2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 s="3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2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 s="3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2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 s="3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2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 s="3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2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 s="3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2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 s="3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2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 s="3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2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 s="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2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 s="3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2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 s="3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2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 s="3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2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 s="3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2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 s="3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2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 s="3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2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 s="3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2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 s="3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2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 s="3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2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 s="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2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 s="3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2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 s="3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2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 s="3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2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 s="3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2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 s="3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2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 s="3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2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 s="3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2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 s="3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2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 s="3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2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 s="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2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 s="3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2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 s="3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2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 s="3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2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 s="3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2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 s="3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2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 s="3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2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 s="3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2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 s="3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2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 s="3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2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 s="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2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 s="3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2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 s="3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2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 s="3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2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 s="3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2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 s="3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2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 s="3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2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 s="3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2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 s="3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2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 s="3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2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 s="3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2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 s="3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2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 s="3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2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 s="3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2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 s="3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2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 s="3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2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 s="3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2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 s="3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2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 s="3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2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 s="3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2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 s="3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2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 s="3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2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 s="3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2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 s="3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2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 s="3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2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 s="3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2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 s="3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2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 s="3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2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 s="3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2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 s="3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2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 s="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2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 s="3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2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 s="3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2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 s="3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2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 s="3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2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 s="3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2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 s="3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2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 s="3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2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 s="3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2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 s="3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2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 s="3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2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 s="3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2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 s="3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2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 s="3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2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 s="3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2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 s="3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2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 s="3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2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 s="3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2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 s="3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2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 s="3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2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 s="3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2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 s="3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2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 s="3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2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 s="3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2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 s="3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2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 s="3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2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 s="3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2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 s="3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2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 s="3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2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 s="3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2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 s="3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2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 s="3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2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 s="3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2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 s="3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2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 s="3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2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 s="3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2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 s="3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2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 s="3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2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 s="3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2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 s="3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2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 s="3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2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 s="3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2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 s="3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2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 s="3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2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 s="3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 s="3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2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 s="3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2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 s="3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2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 s="3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2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 s="3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2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 s="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 s="3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2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 s="3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2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 s="3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2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 s="3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2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 s="3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2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 s="3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2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 s="3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2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 s="3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2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 s="3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2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 s="3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2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 s="3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2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 s="3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2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 s="3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2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 s="3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2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 s="3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2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 s="3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2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 s="3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2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 s="3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2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 s="3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2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 s="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 s="3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2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 s="3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2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 s="3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2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 s="3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2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 s="3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2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 s="3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2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 s="3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2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 s="3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2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 s="3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2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 s="3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2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 s="3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2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 s="3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2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 s="3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2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 s="3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 s="3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2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 s="3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2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 s="3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2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 s="3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2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 s="3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2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 s="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2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 s="3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2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 s="3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2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 s="3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2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 s="3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2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 s="3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2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 s="3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2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 s="3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2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 s="3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2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 s="3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2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 s="3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2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 s="3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2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 s="3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2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 s="3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2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 s="3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2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 s="3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2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 s="3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2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 s="3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2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 s="3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2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 s="3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2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 s="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 s="3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 s="3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2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 s="3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2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 s="3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2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 s="3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2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 s="3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2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 s="3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2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 s="3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2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 s="3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2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 s="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2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 s="3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2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 s="3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2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 s="3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2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 s="3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 s="3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2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 s="3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2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 s="3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2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 s="3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2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 s="3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2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 s="3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2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 s="3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2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 s="3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2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 s="3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2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 s="3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2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 s="3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2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 s="3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2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 s="3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2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 s="3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2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 s="3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2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 s="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2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 s="3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2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 s="3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2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 s="3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2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 s="3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 s="3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2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 s="3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2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 s="3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2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 s="3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2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 s="3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2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 s="3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2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 s="3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2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 s="3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2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 s="3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2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 s="3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2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 s="3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2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 s="3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2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 s="3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2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 s="3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2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 s="3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2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 s="3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2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 s="3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2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 s="3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2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 s="3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2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 s="3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2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 s="3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2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 s="3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2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 s="3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2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 s="3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2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 s="3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2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 s="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2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 s="3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2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 s="3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2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 s="3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2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 s="3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2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 s="3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2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 s="3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2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 s="3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2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 s="3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2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 s="3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2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 s="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2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 s="3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 s="3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2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 s="3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2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 s="3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2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 s="3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2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 s="3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2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 s="3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2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 s="3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2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 s="3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2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 s="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 s="3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2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 s="3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2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 s="3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2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 s="3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2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 s="3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2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 s="3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2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 s="3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2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 s="3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2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 s="3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2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 s="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2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 s="3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2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 s="3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2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 s="3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2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 s="3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 s="3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2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 s="3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2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 s="3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2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 s="3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2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 s="3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2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 s="3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2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 s="3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2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 s="3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2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 s="3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2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 s="3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2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 s="3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2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 s="3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2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 s="3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2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 s="3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 s="3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2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 s="3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2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 s="3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2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 s="3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2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 s="3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2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 s="3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2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 s="3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 s="3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2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 s="3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2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 s="3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2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 s="3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2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 s="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2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 s="3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2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 s="3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2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 s="3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2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 s="3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2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 s="3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 s="3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2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 s="3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2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 s="3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2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 s="3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 s="3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2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 s="3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2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 s="3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2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 s="3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2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 s="3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2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 s="3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2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 s="3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2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 s="3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2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 s="3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2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 s="3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2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 s="3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2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 s="3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2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 s="3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 s="3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2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 s="3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2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 s="3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2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 s="3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 s="3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2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 s="3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 s="3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2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 s="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2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 s="3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2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 s="3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2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 s="3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2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 s="3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2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 s="3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2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 s="3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2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 s="3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2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 s="3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2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 s="3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2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 s="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2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 s="3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2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 s="3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 s="3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2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 s="3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2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 s="3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2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 s="3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2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 s="3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 s="3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2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 s="3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2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 s="3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2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 s="3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2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 s="3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2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 s="3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2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 s="3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2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 s="3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2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 s="3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2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 s="3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2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 s="3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2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 s="3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2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 s="3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2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 s="3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2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 s="3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2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 s="3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2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 s="3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2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 s="3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2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 s="3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2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 s="3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2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 s="3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2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 s="3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2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 s="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2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 s="3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2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 s="3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2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 s="3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2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 s="3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2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 s="3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2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 s="3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2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 s="3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2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 s="3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2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 s="3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2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 s="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 s="3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2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 s="3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2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 s="3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2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 s="3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2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 s="3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2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 s="3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2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 s="3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2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 s="3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2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 s="3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2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 s="3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2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 s="3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2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 s="3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2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 s="3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2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 s="3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2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 s="3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2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 s="3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2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 s="3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2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 s="3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2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 s="3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2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 s="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2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 s="3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2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 s="3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2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 s="3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2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 s="3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2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 s="3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2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 s="3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2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 s="3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2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 s="3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2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 s="3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2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 s="3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2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 s="3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2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 s="3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 s="3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2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 s="3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2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 s="3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2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 s="3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2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 s="3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2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 s="3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2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 s="3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2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 s="3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2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 s="3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 s="3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2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 s="3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2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 s="3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2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 s="3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2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 s="3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2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 s="3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2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 s="3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2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 s="3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2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 s="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2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 s="3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2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 s="3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2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 s="3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2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 s="3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2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 s="3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2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 s="3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2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 s="3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2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 s="3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2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 s="3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2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 s="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2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 s="3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2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 s="3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2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 s="3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2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 s="3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2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 s="3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2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 s="3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2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 s="3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2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 s="3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2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 s="3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2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 s="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2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 s="3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2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 s="3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2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 s="3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2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 s="3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2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 s="3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2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 s="3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2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 s="3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2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 s="3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2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 s="3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2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 s="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2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 s="3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2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 s="3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2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 s="3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2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 s="3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2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 s="3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2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 s="3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2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 s="3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2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 s="3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2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 s="3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2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 s="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2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 s="3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2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 s="3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 s="3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2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 s="3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2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 s="3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2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 s="3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2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 s="3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2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 s="3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2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 s="3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2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 s="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2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 s="3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2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 s="3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2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 s="3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2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 s="3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2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 s="3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2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 s="3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2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 s="3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2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 s="3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2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 s="3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2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 s="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2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 s="3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2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 s="3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2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 s="3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2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 s="3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2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 s="3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2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 s="3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2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 s="3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2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 s="3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2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 s="3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2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 s="3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2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 s="3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2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 s="3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2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 s="3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2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 s="3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2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 s="3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2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 s="3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2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 s="3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2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 s="3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2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 s="3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2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 s="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2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 s="3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 s="3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2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 s="3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2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 s="3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2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 s="3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 s="3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2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 s="3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2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 s="3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2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 s="3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 s="3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2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 s="3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2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 s="3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2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 s="3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2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 s="3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2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 s="3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2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 s="3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2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 s="3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2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 s="3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2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 s="3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2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 s="3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2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 s="3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2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 s="3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2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 s="3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2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 s="3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2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 s="3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2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 s="3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 s="3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2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 s="3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2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 s="3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2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 s="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2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 s="3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2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 s="3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2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 s="3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2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 s="3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2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 s="3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2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 s="3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 s="3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2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 s="3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2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 s="3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2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 s="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2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 s="3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2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 s="3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2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 s="3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2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 s="3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 s="3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2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 s="3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2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 s="3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2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 s="3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2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 s="3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2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 s="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2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 s="3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2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 s="3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2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 s="3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2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 s="3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2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 s="3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2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 s="3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2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 s="3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2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 s="3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2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 s="3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2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 s="3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2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 s="3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2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 s="3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2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 s="3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2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 s="3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2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 s="3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2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 s="3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2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 s="3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2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 s="3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2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 s="3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2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 s="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2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 s="3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2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 s="3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2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 s="3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2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 s="3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2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 s="3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 s="3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2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 s="3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2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 s="3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2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 s="3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2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 s="3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2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 s="3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2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 s="3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2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 s="3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2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 s="3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2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 s="3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2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 s="3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2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 s="3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2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 s="3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2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 s="3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2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 s="3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2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 s="3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2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 s="3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2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 s="3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2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 s="3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2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 s="3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2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 s="3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2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 s="3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2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 s="3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2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 s="3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2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 s="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2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 s="3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2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 s="3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2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 s="3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2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 s="3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2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 s="3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2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 s="3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2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 s="3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2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 s="3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2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 s="3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2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 s="3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2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 s="3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2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 s="3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2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 s="3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2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 s="3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2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 s="3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2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 s="3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2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 s="3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2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 s="3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2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 s="3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2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 s="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2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 s="3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2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 s="3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2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 s="3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2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 s="3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2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 s="3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 s="3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2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 s="3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2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 s="3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2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 s="3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2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 s="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2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 s="3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2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 s="3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2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 s="3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2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 s="3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2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 s="3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2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 s="3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2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 s="3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2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 s="3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2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 s="3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2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 s="3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2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 s="3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2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 s="3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2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 s="3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 s="3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2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 s="3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2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 s="3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2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 s="3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2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 s="3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2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 s="3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2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 s="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2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 s="3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2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 s="3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2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 s="3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2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 s="3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2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 s="3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2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 s="3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2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 s="3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 s="3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2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 s="3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2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 s="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2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 s="3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2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 s="3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2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 s="3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2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 s="3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2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 s="3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2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 s="3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2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 s="3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2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 s="3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2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 s="3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 s="3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2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 s="3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 s="3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2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 s="3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2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 s="3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2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 s="3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2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 s="3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2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 s="3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2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 s="3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2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 s="3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2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 s="3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2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 s="3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2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 s="3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2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 s="3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 s="3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2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 s="3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2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 s="3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2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 s="3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2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 s="3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2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 s="3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2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 s="3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2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 s="3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2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 s="3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2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 s="3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2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 s="3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2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 s="3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2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 s="3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2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 s="3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2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 s="3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2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 s="3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2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 s="3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2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 s="3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2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 s="3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2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 s="3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2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 s="3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2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 s="3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2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 s="3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2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 s="3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2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 s="3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2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 s="3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2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 s="3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2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 s="3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2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 s="3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2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 s="3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 s="3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2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 s="3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2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 s="3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2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 s="3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2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 s="3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2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 s="3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2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 s="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2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 s="3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2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 s="3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2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 s="3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2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 s="3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2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 s="3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2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 s="3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2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 s="3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2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 s="3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2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 s="3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2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 s="3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2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 s="3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2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 s="3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2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 s="3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2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 s="3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2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 s="3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2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 s="3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2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 s="3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2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 s="3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2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 s="3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2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 s="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 s="3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2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 s="3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2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 s="3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2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 s="3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2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 s="3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2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 s="3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2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 s="3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2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 s="3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2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 s="3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2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 s="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2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 s="3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2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 s="3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2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 s="3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2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 s="3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2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 s="3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2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 s="3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2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 s="3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2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 s="3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2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 s="3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2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 s="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2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 s="3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2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 s="3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2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 s="3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2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 s="3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2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 s="3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2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 s="3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2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 s="3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2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 s="3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2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 s="3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2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 s="3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2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 s="3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2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 s="3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2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 s="3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2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 s="3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2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 s="3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2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 s="3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2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 s="3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2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 s="3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2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 s="3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2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 s="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2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 s="3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2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 s="3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2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 s="3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2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 s="3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2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 s="3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2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 s="3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2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 s="3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2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 s="3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2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 s="3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2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 s="3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2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 s="3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2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 s="3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2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 s="3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2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 s="3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2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 s="3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2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 s="3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2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 s="3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2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 s="3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2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 s="3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2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 s="3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2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 s="3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2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 s="3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2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 s="3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2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 s="3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2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 s="3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2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 s="3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2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 s="3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2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 s="3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2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 s="3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2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 s="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2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 s="3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2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 s="3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2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 s="3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2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 s="3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2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 s="3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2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 s="3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2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 s="3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2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 s="3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2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 s="3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2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 s="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2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 s="3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2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 s="3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2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 s="3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2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 s="3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2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 s="3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2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 s="3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2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 s="3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2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 s="3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2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 s="3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2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 s="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2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 s="3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2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 s="3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2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 s="3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2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 s="3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2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 s="3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2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 s="3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2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 s="3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2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 s="3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2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 s="3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2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 s="3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2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 s="3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2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 s="3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2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 s="3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2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 s="3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2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 s="3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 s="3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2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 s="3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2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 s="3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2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 s="3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2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 s="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2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 s="3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2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 s="3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2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 s="3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2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 s="3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 s="3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2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 s="3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2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 s="3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2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 s="3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2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 s="3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2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 s="3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2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 s="3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2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 s="3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2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 s="3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2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 s="3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2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 s="3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2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 s="3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2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 s="3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2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 s="3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2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 s="3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2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 s="3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2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 s="3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2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 s="3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2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 s="3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2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 s="3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2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 s="3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2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 s="3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2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 s="3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2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 s="3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2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 s="3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2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 s="3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2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 s="3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2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 s="3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2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 s="3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2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 s="3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2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 s="3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2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 s="3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2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 s="3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2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 s="3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 s="3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2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 s="3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2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 s="3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2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 s="3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2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 s="3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2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 s="3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2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 s="3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2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 s="3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2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 s="3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2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 s="3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2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 s="3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2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 s="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2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 s="3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2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 s="3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2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 s="3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2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 s="3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2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 s="3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2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 s="3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2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 s="3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2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 s="3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2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 s="3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2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 s="3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2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 s="3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 s="3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2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 s="3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2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 s="3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2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 s="3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2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 s="3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2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 s="3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2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 s="3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2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 s="3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2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 s="3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2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 s="3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2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 s="3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2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 s="3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2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 s="3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2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 s="3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2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 s="3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2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 s="3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2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 s="3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2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 s="3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2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 s="3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2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 s="3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2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 s="3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2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 s="3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 s="3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2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 s="3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2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 s="3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2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 s="3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2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 s="3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2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 s="3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2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 s="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2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 s="3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2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 s="3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2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 s="3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2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 s="3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2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 s="3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2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 s="3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2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 s="3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2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 s="3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2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 s="3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2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 s="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2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 s="3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2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 s="3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2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 s="3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2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 s="3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2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 s="3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2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 s="3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2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 s="3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2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 s="3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2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 s="3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2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 s="3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2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 s="3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2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 s="3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2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 s="3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2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 s="3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2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 s="3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2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 s="3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2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 s="3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2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 s="3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2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 s="3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2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 s="3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2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 s="3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2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 s="3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2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 s="3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2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 s="3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2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 s="3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2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 s="3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2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 s="3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2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 s="3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2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 s="3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2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 s="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2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 s="3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2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 s="3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2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 s="3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2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 s="3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2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 s="3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2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 s="3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2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 s="3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2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 s="3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2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 s="3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2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 s="3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2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 s="3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2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 s="3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2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 s="3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2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 s="3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2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 s="3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2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 s="3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2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 s="3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2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 s="3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 s="3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2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 s="3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2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 s="3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2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 s="3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2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 s="3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2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 s="3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2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 s="3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2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 s="3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2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 s="3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2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 s="3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2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 s="3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2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 s="3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2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 s="3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2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 s="3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2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 s="3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2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 s="3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2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 s="3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2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 s="3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2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 s="3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2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 s="3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2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 s="3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2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 s="3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2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 s="3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2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 s="3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2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 s="3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 s="3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2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 s="3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2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 s="3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2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 s="3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2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 s="3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2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 s="3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2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 s="3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2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 s="3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2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 s="3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2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 s="3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2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 s="3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2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 s="3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2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 s="3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2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 s="3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2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 s="3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2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 s="3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2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 s="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2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 s="3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2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 s="3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2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 s="3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2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 s="3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2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 s="3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2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 s="3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2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 s="3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2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 s="3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2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 s="3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2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 s="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2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 s="3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2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 s="3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2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 s="3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2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 s="3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2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 s="3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2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 s="3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2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 s="3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2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 s="3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2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 s="3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 s="3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2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 s="3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2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 s="3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2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 s="3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2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 s="3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2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 s="3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2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 s="3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2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 s="3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2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 s="3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2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 s="3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2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 s="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2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 s="3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2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 s="3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2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 s="3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2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 s="3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2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 s="3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2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 s="3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2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 s="3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2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 s="3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2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 s="3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2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 s="3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2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 s="3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2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 s="3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2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 s="3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2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 s="3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2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 s="3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2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 s="3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2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 s="3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2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 s="3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2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 s="3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2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 s="3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2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 s="3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2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 s="3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2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 s="3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2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 s="3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2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 s="3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2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 s="3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2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 s="3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2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 s="3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2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 s="3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2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 s="3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2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 s="3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2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 s="3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2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 s="3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2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 s="3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2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 s="3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2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 s="3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2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 s="3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2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 s="3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2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 s="3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2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 s="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2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 s="3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2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 s="3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2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 s="3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2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 s="3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2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 s="3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2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 s="3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2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 s="3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2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 s="3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2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 s="3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2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 s="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2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 s="3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2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 s="3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2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 s="3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2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 s="3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2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 s="3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2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 s="3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2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 s="3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2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 s="3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2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 s="3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2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 s="3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2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 s="3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2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 s="3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2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 s="3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2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 s="3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2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 s="3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2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 s="3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2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 s="3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2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 s="3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2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 s="3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2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 s="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2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 s="3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2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 s="3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2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 s="3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2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 s="3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2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 s="3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2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 s="3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2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 s="3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2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 s="3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2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 s="3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2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 s="3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2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 s="3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 s="3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2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 s="3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2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 s="3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2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 s="3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2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 s="3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2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 s="3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2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 s="3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2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 s="3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2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 s="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2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 s="3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2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 s="3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2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 s="3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2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 s="3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2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 s="3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2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 s="3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2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 s="3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2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 s="3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2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 s="3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2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 s="3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2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 s="3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2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 s="3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2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 s="3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2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 s="3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2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 s="3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2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 s="3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2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 s="3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2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 s="3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2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 s="3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2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 s="3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2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 s="3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2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 s="3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2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 s="3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2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 s="3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2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 s="3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2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 s="3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2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 s="3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2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 s="3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2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 s="3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2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 s="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2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 s="3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2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 s="3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2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 s="3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2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 s="3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2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 s="3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2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 s="3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2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 s="3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2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 s="3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2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 s="3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2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 s="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2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 s="3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2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 s="3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2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 s="3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2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 s="3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2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 s="3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2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 s="3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2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 s="3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2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 s="3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2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 s="3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2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 s="3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2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 s="3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2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 s="3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2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 s="3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2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 s="3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2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 s="3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2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 s="3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2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 s="3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2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 s="3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2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 s="3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2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 s="3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2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 s="3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2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 s="3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2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 s="3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2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 s="3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2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 s="3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2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 s="3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2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 s="3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2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 s="3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2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 s="3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2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 s="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2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 s="3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2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 s="3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2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 s="3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2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 s="3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2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 s="3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2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 s="3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2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 s="3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2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 s="3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2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 s="3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2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 s="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2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 s="3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2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 s="3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2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 s="3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2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 s="3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2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 s="3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2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 s="3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2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 s="3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2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 s="3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2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 s="3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2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 s="3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2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 s="3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 s="3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2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 s="3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2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 s="3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2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 s="3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2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 s="3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2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 s="3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2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 s="3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2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 s="3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2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 s="3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2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 s="3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2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 s="3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2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 s="3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2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 s="3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2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 s="3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2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 s="3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2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 s="3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2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 s="3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2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 s="3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2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 s="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2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 s="3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2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 s="3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2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 s="3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2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 s="3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2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 s="3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2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 s="3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2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 s="3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2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 s="3">
        <v>57487</v>
      </c>
      <c r="W3001" t="s">
        <v>42</v>
      </c>
      <c r="X3001" t="s">
        <v>83</v>
      </c>
      <c r="Y3001" t="s">
        <v>44</v>
      </c>
      <c r="Z3001">
        <v>2</v>
      </c>
    </row>
  </sheetData>
  <pageMargins left="0.7" right="0.7" top="0.75" bottom="0.75" header="0.3" footer="0.3"/>
  <pageSetup scale="0" firstPageNumber="0" fitToWidth="0" fitToHeight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Deepika Kk</dc:creator>
  <cp:lastModifiedBy>Deepika Kk</cp:lastModifiedBy>
  <cp:lastPrinted>2024-08-25T17:35:21Z</cp:lastPrinted>
  <dcterms:created xsi:type="dcterms:W3CDTF">2024-08-25T18:32:54Z</dcterms:created>
  <dcterms:modified xsi:type="dcterms:W3CDTF">2024-08-28T03:07:25Z</dcterms:modified>
</cp:coreProperties>
</file>